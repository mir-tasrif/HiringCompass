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BS" sheetId="1" r:id="rId5"/>
  </sheets>
  <definedNames/>
  <calcPr/>
</workbook>
</file>

<file path=xl/sharedStrings.xml><?xml version="1.0" encoding="utf-8"?>
<sst xmlns="http://schemas.openxmlformats.org/spreadsheetml/2006/main" count="333" uniqueCount="187">
  <si>
    <t>Work Breakdown Structure - HiringCompass: An AI recruitment assistant that guides hiring teams with evidence-backed assessments, keeping humans in control of every decision.</t>
  </si>
  <si>
    <t>#</t>
  </si>
  <si>
    <t>Modules</t>
  </si>
  <si>
    <t>Features</t>
  </si>
  <si>
    <t>Tasks</t>
  </si>
  <si>
    <t>UI/UX
(man-hour)</t>
  </si>
  <si>
    <t>Frontend
(man-hour)</t>
  </si>
  <si>
    <t>Backend
(man-hour)</t>
  </si>
  <si>
    <t>QA
(man-hour)</t>
  </si>
  <si>
    <t>Docs/PM
(man-hour)</t>
  </si>
  <si>
    <t>Total
(man-hour)</t>
  </si>
  <si>
    <t>Total
(man-day)</t>
  </si>
  <si>
    <t>Phase-1</t>
  </si>
  <si>
    <t xml:space="preserve"> Requirement Understanding, Clarification &amp; Planning</t>
  </si>
  <si>
    <t>Requirement &amp; Scope Understanding</t>
  </si>
  <si>
    <t>1.1.1</t>
  </si>
  <si>
    <t>Study BID, instructor Q&amp;A and clarify F1–F11 scope, constraints and acceptance criteria</t>
  </si>
  <si>
    <t>-</t>
  </si>
  <si>
    <t>1.1.2</t>
  </si>
  <si>
    <t>Research recruitment domain and available libraries/services; record assumptions and open decisions</t>
  </si>
  <si>
    <t>Solution Planning</t>
  </si>
  <si>
    <t>1.2.1</t>
  </si>
  <si>
    <t>Define project name/positioning and high-level multi-agent solution approach</t>
  </si>
  <si>
    <t>1.2.2</t>
  </si>
  <si>
    <t>Prepare WBS with estimates, dependencies, sequencing and definition of done</t>
  </si>
  <si>
    <t>1.2.3</t>
  </si>
  <si>
    <t>Prepare high-level architecture/workflow and LangGraph/orchestration design</t>
  </si>
  <si>
    <t>1.2.4</t>
  </si>
  <si>
    <t>Prepare risk register and finalize technology-stack justification</t>
  </si>
  <si>
    <t>1.2.5</t>
  </si>
  <si>
    <t>Initialize GitHub repository, README skeleton, /docs, .gitignore and .env.example</t>
  </si>
  <si>
    <t>Phase-2</t>
  </si>
  <si>
    <t>Foundation &amp; Multi-Agent Platform</t>
  </si>
  <si>
    <t>Project Foundation</t>
  </si>
  <si>
    <t>2.1.1</t>
  </si>
  <si>
    <t>Set up FastAPI backend, frontend shell, Dockerfile(s), Docker Compose and health endpoint</t>
  </si>
  <si>
    <t>2.1.2</t>
  </si>
  <si>
    <t>Set up relational database, migrations, base domain models and persistent volumes</t>
  </si>
  <si>
    <t>2.1.3</t>
  </si>
  <si>
    <t>Implement environment configuration, safe error handling, structured logging and upload validation</t>
  </si>
  <si>
    <t>Agent Orchestration &amp; Persistence</t>
  </si>
  <si>
    <t>2.2.1</t>
  </si>
  <si>
    <t>Create LangGraph base state, orchestrator/subgraph skeleton and typed agent hand-off contracts</t>
  </si>
  <si>
    <t>2.2.2</t>
  </si>
  <si>
    <t>Configure persistent LangGraph checkpointing and verify workflow resume after restart</t>
  </si>
  <si>
    <t>Job Intelligence &amp; Pre-Interview Screening</t>
  </si>
  <si>
    <t>Agent A — Job Profile Generation</t>
  </si>
  <si>
    <t>3.1.1</t>
  </si>
  <si>
    <t>Build recruiter chatbot input flow and generate structured job description/profile from recruiter criteria</t>
  </si>
  <si>
    <t>3.1.2</t>
  </si>
  <si>
    <t>Integrate company hiring-knowledge RAG into job-profile generation</t>
  </si>
  <si>
    <t>Job posting to hiring sites</t>
  </si>
  <si>
    <t>CV Intake &amp; Parsing</t>
  </si>
  <si>
    <t>3.2.1</t>
  </si>
  <si>
    <t>Implement multi-CV upload, file validation and PDF text extraction</t>
  </si>
  <si>
    <t>3.2.2</t>
  </si>
  <si>
    <t>Add OCR fallback when PDF has no usable extractable text; handle OCR failure gracefully</t>
  </si>
  <si>
    <t>3.2.3</t>
  </si>
  <si>
    <t>Extract and persist structured candidate attributes: education, experience, skills, certifications and projects</t>
  </si>
  <si>
    <t>F1 — Screening &amp; Requirement-Based Ranking</t>
  </si>
  <si>
    <t>3.3.1</t>
  </si>
  <si>
    <t>Semantically match CV evidence against mandatory/preferred job requirements</t>
  </si>
  <si>
    <t>3.3.2</t>
  </si>
  <si>
    <t>Classify requirements as Met / Partially Met / Unmet with evidence and explanations</t>
  </si>
  <si>
    <t>3.3.3</t>
  </si>
  <si>
    <t>Apply mandatory-requirement gate and preserve clear screened-out reason</t>
  </si>
  <si>
    <t>3.3.4</t>
  </si>
  <si>
    <t>Generate individual suitability and relative candidate ranking with batch progress/status</t>
  </si>
  <si>
    <t>HITL Screening Gate</t>
  </si>
  <si>
    <t>3.4.1</t>
  </si>
  <si>
    <t>Implement recruiter approve/reject checkpoint after F1 and persist/resume candidate state</t>
  </si>
  <si>
    <t>F2 — AI Candidate Scoring</t>
  </si>
  <si>
    <t>3.5.1</t>
  </si>
  <si>
    <t>Derive job-specific scoring weights from recruiter prompt/job profile and persist the weights</t>
  </si>
  <si>
    <t>3.5.2</t>
  </si>
  <si>
    <t>Score technical skills, relevant experience and qualifications on 0–100 scale</t>
  </si>
  <si>
    <t>3.5.3</t>
  </si>
  <si>
    <t>Generate dimension breakdown, natural-language justification and aggregate score</t>
  </si>
  <si>
    <t>3.5.4</t>
  </si>
  <si>
    <t>Validate pipeline parallelism: approved candidates enter F2 while later CVs remain in F1</t>
  </si>
  <si>
    <t>HITL Interview Selection Gate</t>
  </si>
  <si>
    <t>3.6.1</t>
  </si>
  <si>
    <t>Recruiter reviews F1/F2 evidence and scores, selects candidates eligible for interview, and persists the interview-selection decision before F3</t>
  </si>
  <si>
    <t>Interview &amp; Real-Time Transcription</t>
  </si>
  <si>
    <t>F3 — AI-Powered Video Interview</t>
  </si>
  <si>
    <t>4.1.1</t>
  </si>
  <si>
    <t>Implement interview creation/scheduling, unique join link, candidate/job association and session lifecycle</t>
  </si>
  <si>
    <t>4.1.2</t>
  </si>
  <si>
    <t>Integrate existing WebRTC/managed RTC solution for 1-to-1 browser video/audio</t>
  </si>
  <si>
    <t>4.1.3</t>
  </si>
  <si>
    <t>Implement mute, camera toggle, end-call and basic reconnect/network recovery</t>
  </si>
  <si>
    <t>4.1.4</t>
  </si>
  <si>
    <t>Persist session status, participants and start/end timestamps</t>
  </si>
  <si>
    <t>F4 — Real-Time Speech Recognition</t>
  </si>
  <si>
    <t>4.2.1</t>
  </si>
  <si>
    <t>Stream participant audio to Google Speech-to-Text without permanent raw-media retention</t>
  </si>
  <si>
    <t>4.2.2</t>
  </si>
  <si>
    <t>Structure transcript by participant role, timestamp and conversational turn</t>
  </si>
  <si>
    <t>4.2.3</t>
  </si>
  <si>
    <t>Display live transcript and persist/retrieve it after the interview</t>
  </si>
  <si>
    <t>4.2.4</t>
  </si>
  <si>
    <t>Handle silence, overlap and STT/API failure without crashing the interview</t>
  </si>
  <si>
    <t>Interview Intelligence &amp; Assessment</t>
  </si>
  <si>
    <t>F5 — Q&amp;A Analysis</t>
  </si>
  <si>
    <t>5.1.1</t>
  </si>
  <si>
    <t>Segment transcript into questions, answers, follow-ups, clarifications and multi-part responses</t>
  </si>
  <si>
    <t>5.1.2</t>
  </si>
  <si>
    <t>Filter non-evaluable small talk and map Q&amp;A to specific job requirements</t>
  </si>
  <si>
    <t>5.1.3</t>
  </si>
  <si>
    <t>Build authoritative technical RAG retrieval for factual/technical answer verification</t>
  </si>
  <si>
    <t>5.1.4</t>
  </si>
  <si>
    <t>Evaluate relevance, factual/technical accuracy, completeness and articulation with transcript evidence</t>
  </si>
  <si>
    <t>5.1.5</t>
  </si>
  <si>
    <t>Identify requirements explored and requirements never explored during the interview</t>
  </si>
  <si>
    <t>F6 — Consolidated Candidate Assessment</t>
  </si>
  <si>
    <t>5.2.1</t>
  </si>
  <si>
    <t>Merge F1 screening evidence, F2 scores and F5 interview evidence into consolidated assessment</t>
  </si>
  <si>
    <t>5.2.2</t>
  </si>
  <si>
    <t>Generate strengths, weaknesses, evidence gaps and recommended verification areas</t>
  </si>
  <si>
    <t>5.2.3</t>
  </si>
  <si>
    <t>Implement printable/exportable candidate assessment report</t>
  </si>
  <si>
    <t>5.2.4</t>
  </si>
  <si>
    <t>Implement side-by-side comparison for candidates applying to the same role</t>
  </si>
  <si>
    <t>Innovation Feature</t>
  </si>
  <si>
    <t>F11 — CV Integrity &amp; Prompt Injection Shield</t>
  </si>
  <si>
    <t>6.1.1</t>
  </si>
  <si>
    <t>Detect hidden/white/tiny text and suspicious PDF formatting using document-level signals</t>
  </si>
  <si>
    <t>6.1.2</t>
  </si>
  <si>
    <t>Detect zero-width/unusual Unicode and common prompt-injection/instruction patterns</t>
  </si>
  <si>
    <t>6.1.3</t>
  </si>
  <si>
    <t>Aggregate integrity signals into Normal / Review Required with explainable evidence</t>
  </si>
  <si>
    <t>6.1.4</t>
  </si>
  <si>
    <t>Add F11 HITL approve/reject/quarantine gate before F1 and integrate flag into candidate assessment</t>
  </si>
  <si>
    <t>6.1.5</t>
  </si>
  <si>
    <t>Test clean CV and crafted adversarial CVs for final demonstration</t>
  </si>
  <si>
    <t>UI/UX Refinement</t>
  </si>
  <si>
    <t>Recruiter &amp; Screening UI</t>
  </si>
  <si>
    <t>7.1.1</t>
  </si>
  <si>
    <t>Refine dashboard, Agent A job creation, batch progress, F1 ranking, HITL and F2 scoring views</t>
  </si>
  <si>
    <t>Interview UI</t>
  </si>
  <si>
    <t>7.2.1</t>
  </si>
  <si>
    <t>Refine two-video-panel interview workspace, controls, candidate context and live transcript based on reference UI</t>
  </si>
  <si>
    <t>Assessment UI</t>
  </si>
  <si>
    <t>7.3.1</t>
  </si>
  <si>
    <t>Refine assessment/comparison screens plus loading, empty, error and basic responsive states</t>
  </si>
  <si>
    <t>Stretch Feature</t>
  </si>
  <si>
    <t xml:space="preserve">F7–F10 — One Bounded Stretch Feature or Complete Core Features </t>
  </si>
  <si>
    <t>8.1.1</t>
  </si>
  <si>
    <t>Select one stretch feature only after F1–F6 and F11 are stable; define strict one-day scope</t>
  </si>
  <si>
    <t>8.1.2</t>
  </si>
  <si>
    <t>Implement selected stretch feature using existing core outputs/components</t>
  </si>
  <si>
    <t>8.1.3</t>
  </si>
  <si>
    <t>Integrate, regression-test and prepare stretch demonstration; otherwise use day for core hardening</t>
  </si>
  <si>
    <t>Integration, QA &amp; Release</t>
  </si>
  <si>
    <t>Multi-Agent Integration &amp; Reliability</t>
  </si>
  <si>
    <t>9.1.1</t>
  </si>
  <si>
    <t>Validate multi-job/multi-candidate orchestration and structured agent-output hand-offs</t>
  </si>
  <si>
    <t>9.1.2</t>
  </si>
  <si>
    <t>Validate F1/F2 pipeline concurrency, background processing and checkpoint/restart/resume behavior</t>
  </si>
  <si>
    <t>9.1.3</t>
  </si>
  <si>
    <t>Add/review retry and failure states for LLM, OCR, STT, RAG and RTC dependencies</t>
  </si>
  <si>
    <t>Security, Privacy &amp; Performance</t>
  </si>
  <si>
    <t>9.2.1</t>
  </si>
  <si>
    <t>Review role access, secrets, logs, file validation, candidate deletion and third-party data disclosure</t>
  </si>
  <si>
    <t>9.2.2</t>
  </si>
  <si>
    <t>Run 20-CV performance test; record actual parse/screen/score/rank time and optimize obvious bottlenecks</t>
  </si>
  <si>
    <t>End-to-End QA</t>
  </si>
  <si>
    <t>9.3.1</t>
  </si>
  <si>
    <t>Run complete job → CV → F11 → F1 → HITL → F2 → interview → F4 → F5 → F6 regression</t>
  </si>
  <si>
    <t>9.3.2</t>
  </si>
  <si>
    <t>Test malformed CV/OCR failure, screened-out candidate, network/STT/API failure and restart scenarios</t>
  </si>
  <si>
    <t>Documentation &amp; Release</t>
  </si>
  <si>
    <t>9.4.1</t>
  </si>
  <si>
    <t>Complete README: purpose, setup, configuration, usage, privacy, limitations, third-party services and performance</t>
  </si>
  <si>
    <t>9.4.2</t>
  </si>
  <si>
    <t>Finalize architecture/LangGraph documentation, F11 rationale and privacy/data-handling note</t>
  </si>
  <si>
    <t>9.4.3</t>
  </si>
  <si>
    <t>Fresh-clone clean-machine Docker verification and fix release-blocking setup issues</t>
  </si>
  <si>
    <t>9.4.4</t>
  </si>
  <si>
    <t>Prepare anonymized demo material and rehearse 20–30 minute presentation</t>
  </si>
  <si>
    <t>9.4.5</t>
  </si>
  <si>
    <t>Final regression, repository hygiene, release tag, submission checklist and contingency fixes</t>
  </si>
  <si>
    <t>GRAND TOTAL</t>
  </si>
  <si>
    <t>Planning note</t>
  </si>
  <si>
    <t>Phase 1: Days 1-3 = 24 man-hours (3 working days)</t>
  </si>
  <si>
    <t xml:space="preserve">Phase2: Days 4–20 = 136 man-hours (17 working days), assuming 8 hours per working day. </t>
  </si>
  <si>
    <t>Stretch remains capped at 8 man-hours and converts to core hardening if mandatory work is unstable.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</si>
</sst>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4.0"/>
      <color theme="1"/>
      <name val="Calibri"/>
      <scheme val="minor"/>
    </font>
    <font>
      <b/>
      <color rgb="FFFFFFFF"/>
      <name val="Calibri"/>
      <scheme val="minor"/>
    </font>
    <font>
      <b/>
      <color rgb="FF1F1F1F"/>
      <name val="Calibri"/>
      <scheme val="minor"/>
    </font>
    <font/>
    <font>
      <color theme="1"/>
      <name val="Calibri"/>
      <scheme val="minor"/>
    </font>
    <font>
      <sz val="11.0"/>
      <color theme="1"/>
      <name val="Calibri"/>
    </font>
    <font>
      <b/>
      <color rgb="FF1F4E78"/>
      <name val="Calibri"/>
      <scheme val="minor"/>
    </font>
    <font>
      <b/>
      <color theme="1"/>
      <name val="Calibri"/>
      <scheme val="minor"/>
    </font>
    <font>
      <b/>
      <sz val="11.0"/>
      <color rgb="FF1F4E78"/>
      <name val="Calibri"/>
      <scheme val="minor"/>
    </font>
    <font>
      <b/>
      <sz val="11.0"/>
      <color rgb="FFFFFFFF"/>
      <name val="Calibri"/>
    </font>
    <font>
      <color rgb="FFFFFFFF"/>
      <name val="Calibri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0070C0"/>
        <bgColor rgb="FF0070C0"/>
      </patternFill>
    </fill>
    <fill>
      <patternFill patternType="solid">
        <fgColor rgb="FFC65959"/>
        <bgColor rgb="FFC65959"/>
      </patternFill>
    </fill>
    <fill>
      <patternFill patternType="solid">
        <fgColor rgb="FF5B9BD5"/>
        <bgColor rgb="FF5B9BD5"/>
      </patternFill>
    </fill>
    <fill>
      <patternFill patternType="solid">
        <fgColor rgb="FF8064A2"/>
        <bgColor rgb="FF8064A2"/>
      </patternFill>
    </fill>
    <fill>
      <patternFill patternType="solid">
        <fgColor rgb="FFBF9000"/>
        <bgColor rgb="FFBF9000"/>
      </patternFill>
    </fill>
    <fill>
      <patternFill patternType="solid">
        <fgColor rgb="FF4472C4"/>
        <bgColor rgb="FF4472C4"/>
      </patternFill>
    </fill>
    <fill>
      <patternFill patternType="solid">
        <fgColor rgb="FFD9EAF7"/>
        <bgColor rgb="FFD9EAF7"/>
      </patternFill>
    </fill>
    <fill>
      <patternFill patternType="solid">
        <fgColor rgb="FFEAF2F8"/>
        <bgColor rgb="FFEAF2F8"/>
      </patternFill>
    </fill>
    <fill>
      <patternFill patternType="solid">
        <fgColor rgb="FF1F4E78"/>
        <bgColor rgb="FF1F4E78"/>
      </patternFill>
    </fill>
  </fills>
  <borders count="12">
    <border/>
    <border>
      <left style="thick">
        <color rgb="FF666666"/>
      </left>
      <top style="thick">
        <color rgb="FF666666"/>
      </top>
      <bottom style="thick">
        <color rgb="FF666666"/>
      </bottom>
    </border>
    <border>
      <top style="thick">
        <color rgb="FF666666"/>
      </top>
      <bottom style="thick">
        <color rgb="FF666666"/>
      </bottom>
    </border>
    <border>
      <right style="thick">
        <color rgb="FF666666"/>
      </right>
      <top style="thick">
        <color rgb="FF666666"/>
      </top>
      <bottom style="thick">
        <color rgb="FF666666"/>
      </bottom>
    </border>
    <border>
      <left style="thick">
        <color rgb="FF666666"/>
      </left>
    </border>
    <border>
      <right style="thick">
        <color rgb="FF666666"/>
      </right>
    </border>
    <border>
      <left style="thick">
        <color rgb="FF666666"/>
      </left>
      <top style="thick">
        <color rgb="FF666666"/>
      </top>
    </border>
    <border>
      <top style="thick">
        <color rgb="FF666666"/>
      </top>
    </border>
    <border>
      <right style="thick">
        <color rgb="FF666666"/>
      </right>
      <top style="thick">
        <color rgb="FF666666"/>
      </top>
    </border>
    <border>
      <left style="thick">
        <color rgb="FF666666"/>
      </left>
      <bottom style="thick">
        <color rgb="FF666666"/>
      </bottom>
    </border>
    <border>
      <bottom style="thick">
        <color rgb="FF666666"/>
      </bottom>
    </border>
    <border>
      <right style="thick">
        <color rgb="FF666666"/>
      </right>
      <bottom style="thick">
        <color rgb="FF666666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1" fillId="2" fontId="2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ill="1" applyFont="1">
      <alignment horizontal="left" shrinkToFit="0" vertical="center" wrapText="1"/>
    </xf>
    <xf borderId="2" fillId="3" fontId="2" numFmtId="0" xfId="0" applyAlignment="1" applyBorder="1" applyFill="1" applyFont="1">
      <alignment horizontal="center" shrinkToFit="0" vertical="center" wrapText="1"/>
    </xf>
    <xf borderId="2" fillId="4" fontId="2" numFmtId="0" xfId="0" applyAlignment="1" applyBorder="1" applyFill="1" applyFont="1">
      <alignment horizontal="center" shrinkToFit="0" vertical="center" wrapText="1"/>
    </xf>
    <xf borderId="2" fillId="5" fontId="2" numFmtId="0" xfId="0" applyAlignment="1" applyBorder="1" applyFill="1" applyFont="1">
      <alignment horizontal="center" shrinkToFit="0" vertical="center" wrapText="1"/>
    </xf>
    <xf borderId="2" fillId="6" fontId="2" numFmtId="0" xfId="0" applyAlignment="1" applyBorder="1" applyFill="1" applyFont="1">
      <alignment horizontal="center" shrinkToFit="0" vertical="center" wrapText="1"/>
    </xf>
    <xf borderId="2" fillId="7" fontId="2" numFmtId="0" xfId="0" applyAlignment="1" applyBorder="1" applyFill="1" applyFont="1">
      <alignment horizontal="center" shrinkToFit="0" vertical="center" wrapText="1"/>
    </xf>
    <xf borderId="3" fillId="7" fontId="2" numFmtId="0" xfId="0" applyAlignment="1" applyBorder="1" applyFill="1" applyFont="1">
      <alignment horizontal="center" readingOrder="0" shrinkToFit="0" vertical="center" wrapText="1"/>
    </xf>
    <xf borderId="4" fillId="8" fontId="3" numFmtId="0" xfId="0" applyAlignment="1" applyBorder="1" applyFill="1" applyFont="1">
      <alignment horizontal="left" readingOrder="0" shrinkToFit="0" vertical="center" wrapText="1"/>
    </xf>
    <xf borderId="5" fillId="0" fontId="4" numFmtId="0" xfId="0" applyBorder="1" applyFont="1"/>
    <xf borderId="4" fillId="8" fontId="3" numFmtId="0" xfId="0" applyAlignment="1" applyBorder="1" applyFill="1" applyFont="1">
      <alignment horizontal="center" shrinkToFit="0" vertical="center" wrapText="1"/>
    </xf>
    <xf borderId="0" fillId="8" fontId="3" numFmtId="0" xfId="0" applyAlignment="1" applyFill="1" applyFont="1">
      <alignment horizontal="left" readingOrder="0" shrinkToFit="0" vertical="center" wrapText="1"/>
    </xf>
    <xf borderId="0" fillId="8" fontId="3" numFmtId="0" xfId="0" applyAlignment="1" applyFill="1" applyFont="1">
      <alignment horizontal="center" shrinkToFit="0" vertical="center" wrapText="1"/>
    </xf>
    <xf borderId="5" fillId="0" fontId="5" numFmtId="0" xfId="0" applyBorder="1" applyFont="1"/>
    <xf borderId="4" fillId="0" fontId="6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9" fontId="7" numFmtId="0" xfId="0" applyAlignment="1" applyFill="1" applyFont="1">
      <alignment horizontal="left" shrinkToFit="0" vertical="center" wrapText="1"/>
    </xf>
    <xf borderId="0" fillId="9" fontId="8" numFmtId="0" xfId="0" applyAlignment="1" applyFill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8" fontId="3" numFmtId="0" xfId="0" applyAlignment="1" applyFill="1" applyFont="1">
      <alignment horizontal="left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9" fontId="9" numFmtId="0" xfId="0" applyAlignment="1" applyFill="1" applyFont="1">
      <alignment horizontal="left" shrinkToFit="0" vertical="center" wrapText="1"/>
    </xf>
    <xf borderId="0" fillId="9" fontId="6" numFmtId="0" xfId="0" applyAlignment="1" applyFill="1" applyFont="1">
      <alignment horizontal="center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9" fontId="7" numFmtId="0" xfId="0" applyAlignment="1" applyFill="1" applyFont="1">
      <alignment horizontal="left" readingOrder="0" shrinkToFit="0" vertical="center" wrapText="1"/>
    </xf>
    <xf borderId="1" fillId="10" fontId="2" numFmtId="0" xfId="0" applyAlignment="1" applyBorder="1" applyFill="1" applyFont="1">
      <alignment horizontal="left" shrinkToFit="0" vertical="center" wrapText="1"/>
    </xf>
    <xf borderId="2" fillId="0" fontId="4" numFmtId="0" xfId="0" applyBorder="1" applyFont="1"/>
    <xf borderId="2" fillId="10" fontId="10" numFmtId="0" xfId="0" applyAlignment="1" applyBorder="1" applyFill="1" applyFont="1">
      <alignment horizontal="center" shrinkToFit="0" vertical="center" wrapText="1"/>
    </xf>
    <xf borderId="3" fillId="10" fontId="10" numFmtId="0" xfId="0" applyAlignment="1" applyBorder="1" applyFill="1" applyFont="1">
      <alignment horizontal="center" shrinkToFit="0" vertical="center" wrapText="1"/>
    </xf>
    <xf borderId="0" fillId="0" fontId="11" numFmtId="0" xfId="0" applyFont="1"/>
    <xf borderId="6" fillId="0" fontId="8" numFmtId="0" xfId="0" applyAlignment="1" applyBorder="1" applyFont="1">
      <alignment vertical="center"/>
    </xf>
    <xf borderId="7" fillId="0" fontId="4" numFmtId="0" xfId="0" applyBorder="1" applyFont="1"/>
    <xf borderId="8" fillId="0" fontId="6" numFmtId="0" xfId="0" applyAlignment="1" applyBorder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4" fillId="0" fontId="4" numFmtId="0" xfId="0" applyBorder="1" applyFont="1"/>
    <xf borderId="5" fillId="0" fontId="6" numFmtId="0" xfId="0" applyAlignment="1" applyBorder="1" applyFont="1">
      <alignment readingOrder="0" shrinkToFit="0" wrapText="1"/>
    </xf>
    <xf borderId="9" fillId="0" fontId="4" numFmtId="0" xfId="0" applyBorder="1" applyFont="1"/>
    <xf borderId="10" fillId="0" fontId="4" numFmtId="0" xfId="0" applyBorder="1" applyFont="1"/>
    <xf borderId="11" fillId="0" fontId="6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35.86"/>
    <col customWidth="1" min="3" max="3" width="51.86"/>
    <col customWidth="1" min="4" max="4" width="71.57"/>
    <col customWidth="1" min="5" max="7" width="14.0"/>
    <col customWidth="1" min="8" max="8" width="12.0"/>
    <col customWidth="1" min="9" max="10" width="14.0"/>
    <col customWidth="1" min="11" max="26" width="8.71"/>
  </cols>
  <sheetData>
    <row r="1" ht="55.5" customHeight="1">
      <c r="A1" s="1" t="s">
        <v>0</v>
      </c>
    </row>
    <row r="2" ht="41.25" customHeight="1">
      <c r="A2" s="2" t="s">
        <v>1</v>
      </c>
      <c r="B2" s="3" t="s">
        <v>2</v>
      </c>
      <c r="C2" s="3" t="s">
        <v>3</v>
      </c>
      <c r="D2" s="3" t="s">
        <v>4</v>
      </c>
      <c r="E2" s="4" t="s">
        <v>5</v>
      </c>
      <c r="F2" s="5" t="s">
        <v>6</v>
      </c>
      <c r="G2" s="5" t="s">
        <v>7</v>
      </c>
      <c r="H2" s="6" t="s">
        <v>8</v>
      </c>
      <c r="I2" s="7" t="s">
        <v>9</v>
      </c>
      <c r="J2" s="8" t="s">
        <v>10</v>
      </c>
      <c r="K2" s="9" t="s">
        <v>11</v>
      </c>
    </row>
    <row r="3">
      <c r="A3" s="10" t="s">
        <v>12</v>
      </c>
      <c r="K3" s="11"/>
    </row>
    <row r="4">
      <c r="A4" s="12">
        <v>1.0</v>
      </c>
      <c r="B4" s="13" t="s">
        <v>13</v>
      </c>
      <c r="E4" s="14">
        <f t="shared" ref="E4:J4" si="1">E5+E8</f>
        <v>0</v>
      </c>
      <c r="F4" s="14">
        <f t="shared" si="1"/>
        <v>0.4</v>
      </c>
      <c r="G4" s="14">
        <f t="shared" si="1"/>
        <v>0</v>
      </c>
      <c r="H4" s="14">
        <f t="shared" si="1"/>
        <v>0</v>
      </c>
      <c r="I4" s="14">
        <f t="shared" si="1"/>
        <v>23.6</v>
      </c>
      <c r="J4" s="14">
        <f t="shared" si="1"/>
        <v>24</v>
      </c>
      <c r="K4" s="15">
        <f t="shared" ref="K4:K13" si="3">DIVIDE(J4,8)</f>
        <v>3</v>
      </c>
    </row>
    <row r="5">
      <c r="A5" s="16">
        <v>1.1</v>
      </c>
      <c r="B5" s="17"/>
      <c r="C5" s="18" t="s">
        <v>14</v>
      </c>
      <c r="D5" s="17"/>
      <c r="E5" s="19">
        <f t="shared" ref="E5:J5" si="2">SUM(E6:E7)</f>
        <v>0</v>
      </c>
      <c r="F5" s="19">
        <f t="shared" si="2"/>
        <v>0</v>
      </c>
      <c r="G5" s="19">
        <f t="shared" si="2"/>
        <v>0</v>
      </c>
      <c r="H5" s="19">
        <f t="shared" si="2"/>
        <v>0</v>
      </c>
      <c r="I5" s="19">
        <f t="shared" si="2"/>
        <v>8</v>
      </c>
      <c r="J5" s="19">
        <f t="shared" si="2"/>
        <v>8</v>
      </c>
      <c r="K5" s="15">
        <f t="shared" si="3"/>
        <v>1</v>
      </c>
    </row>
    <row r="6" ht="33.75" customHeight="1">
      <c r="A6" s="16" t="s">
        <v>15</v>
      </c>
      <c r="B6" s="17"/>
      <c r="C6" s="17"/>
      <c r="D6" s="17" t="s">
        <v>16</v>
      </c>
      <c r="E6" s="20" t="s">
        <v>17</v>
      </c>
      <c r="F6" s="20" t="s">
        <v>17</v>
      </c>
      <c r="G6" s="20" t="s">
        <v>17</v>
      </c>
      <c r="H6" s="20" t="s">
        <v>17</v>
      </c>
      <c r="I6" s="20">
        <v>5.2</v>
      </c>
      <c r="J6" s="20">
        <f t="shared" ref="J6:J7" si="4">SUM(E6:I6)</f>
        <v>5.2</v>
      </c>
      <c r="K6" s="15">
        <f t="shared" si="3"/>
        <v>0.65</v>
      </c>
    </row>
    <row r="7" ht="33.75" customHeight="1">
      <c r="A7" s="16" t="s">
        <v>18</v>
      </c>
      <c r="B7" s="17"/>
      <c r="C7" s="17"/>
      <c r="D7" s="17" t="s">
        <v>19</v>
      </c>
      <c r="E7" s="20" t="s">
        <v>17</v>
      </c>
      <c r="F7" s="20" t="s">
        <v>17</v>
      </c>
      <c r="G7" s="20" t="s">
        <v>17</v>
      </c>
      <c r="H7" s="20" t="s">
        <v>17</v>
      </c>
      <c r="I7" s="20">
        <v>2.8</v>
      </c>
      <c r="J7" s="20">
        <f t="shared" si="4"/>
        <v>2.8</v>
      </c>
      <c r="K7" s="15">
        <f t="shared" si="3"/>
        <v>0.35</v>
      </c>
    </row>
    <row r="8">
      <c r="A8" s="16">
        <v>1.2</v>
      </c>
      <c r="B8" s="17"/>
      <c r="C8" s="18" t="s">
        <v>20</v>
      </c>
      <c r="D8" s="17"/>
      <c r="E8" s="19">
        <f t="shared" ref="E8:J8" si="5">SUM(E9:E13)</f>
        <v>0</v>
      </c>
      <c r="F8" s="19">
        <f t="shared" si="5"/>
        <v>0.4</v>
      </c>
      <c r="G8" s="19">
        <f t="shared" si="5"/>
        <v>0</v>
      </c>
      <c r="H8" s="19">
        <f t="shared" si="5"/>
        <v>0</v>
      </c>
      <c r="I8" s="19">
        <f t="shared" si="5"/>
        <v>15.6</v>
      </c>
      <c r="J8" s="19">
        <f t="shared" si="5"/>
        <v>16</v>
      </c>
      <c r="K8" s="15">
        <f t="shared" si="3"/>
        <v>2</v>
      </c>
    </row>
    <row r="9" ht="33.75" customHeight="1">
      <c r="A9" s="16" t="s">
        <v>21</v>
      </c>
      <c r="B9" s="17"/>
      <c r="C9" s="17"/>
      <c r="D9" s="17" t="s">
        <v>22</v>
      </c>
      <c r="E9" s="20" t="s">
        <v>17</v>
      </c>
      <c r="F9" s="20" t="s">
        <v>17</v>
      </c>
      <c r="G9" s="20" t="s">
        <v>17</v>
      </c>
      <c r="H9" s="20" t="s">
        <v>17</v>
      </c>
      <c r="I9" s="20">
        <v>2.8</v>
      </c>
      <c r="J9" s="20">
        <f t="shared" ref="J9:J13" si="6">SUM(E9:I9)</f>
        <v>2.8</v>
      </c>
      <c r="K9" s="15">
        <f t="shared" si="3"/>
        <v>0.35</v>
      </c>
    </row>
    <row r="10" ht="33.75" customHeight="1">
      <c r="A10" s="16" t="s">
        <v>23</v>
      </c>
      <c r="B10" s="17"/>
      <c r="C10" s="17"/>
      <c r="D10" s="17" t="s">
        <v>24</v>
      </c>
      <c r="E10" s="20" t="s">
        <v>17</v>
      </c>
      <c r="F10" s="20" t="s">
        <v>17</v>
      </c>
      <c r="G10" s="20" t="s">
        <v>17</v>
      </c>
      <c r="H10" s="20" t="s">
        <v>17</v>
      </c>
      <c r="I10" s="20">
        <v>4.4</v>
      </c>
      <c r="J10" s="20">
        <f t="shared" si="6"/>
        <v>4.4</v>
      </c>
      <c r="K10" s="15">
        <f t="shared" si="3"/>
        <v>0.55</v>
      </c>
    </row>
    <row r="11" ht="33.75" customHeight="1">
      <c r="A11" s="16" t="s">
        <v>25</v>
      </c>
      <c r="B11" s="17"/>
      <c r="C11" s="17"/>
      <c r="D11" s="17" t="s">
        <v>26</v>
      </c>
      <c r="E11" s="20" t="s">
        <v>17</v>
      </c>
      <c r="F11" s="20" t="s">
        <v>17</v>
      </c>
      <c r="G11" s="20" t="s">
        <v>17</v>
      </c>
      <c r="H11" s="20" t="s">
        <v>17</v>
      </c>
      <c r="I11" s="20">
        <v>4.4</v>
      </c>
      <c r="J11" s="20">
        <f t="shared" si="6"/>
        <v>4.4</v>
      </c>
      <c r="K11" s="15">
        <f t="shared" si="3"/>
        <v>0.55</v>
      </c>
    </row>
    <row r="12" ht="33.75" customHeight="1">
      <c r="A12" s="16" t="s">
        <v>27</v>
      </c>
      <c r="B12" s="17"/>
      <c r="C12" s="17"/>
      <c r="D12" s="17" t="s">
        <v>28</v>
      </c>
      <c r="E12" s="20" t="s">
        <v>17</v>
      </c>
      <c r="F12" s="20" t="s">
        <v>17</v>
      </c>
      <c r="G12" s="20" t="s">
        <v>17</v>
      </c>
      <c r="H12" s="20" t="s">
        <v>17</v>
      </c>
      <c r="I12" s="20">
        <v>2.4</v>
      </c>
      <c r="J12" s="20">
        <f t="shared" si="6"/>
        <v>2.4</v>
      </c>
      <c r="K12" s="15">
        <f t="shared" si="3"/>
        <v>0.3</v>
      </c>
    </row>
    <row r="13" ht="33.75" customHeight="1">
      <c r="A13" s="16" t="s">
        <v>29</v>
      </c>
      <c r="B13" s="17"/>
      <c r="C13" s="17"/>
      <c r="D13" s="17" t="s">
        <v>30</v>
      </c>
      <c r="E13" s="20" t="s">
        <v>17</v>
      </c>
      <c r="F13" s="20">
        <v>0.4</v>
      </c>
      <c r="G13" s="20" t="s">
        <v>17</v>
      </c>
      <c r="H13" s="20" t="s">
        <v>17</v>
      </c>
      <c r="I13" s="20">
        <v>1.6</v>
      </c>
      <c r="J13" s="20">
        <f t="shared" si="6"/>
        <v>2</v>
      </c>
      <c r="K13" s="15">
        <f t="shared" si="3"/>
        <v>0.25</v>
      </c>
    </row>
    <row r="14">
      <c r="A14" s="10" t="s">
        <v>31</v>
      </c>
      <c r="K14" s="11"/>
    </row>
    <row r="15">
      <c r="A15" s="12">
        <v>2.0</v>
      </c>
      <c r="B15" s="21" t="s">
        <v>32</v>
      </c>
      <c r="E15" s="14">
        <f t="shared" ref="E15:J15" si="7">E16+E20</f>
        <v>0.8</v>
      </c>
      <c r="F15" s="14">
        <f t="shared" si="7"/>
        <v>1.6</v>
      </c>
      <c r="G15" s="14">
        <f t="shared" si="7"/>
        <v>6</v>
      </c>
      <c r="H15" s="14">
        <f t="shared" si="7"/>
        <v>2.4</v>
      </c>
      <c r="I15" s="14">
        <f t="shared" si="7"/>
        <v>1.2</v>
      </c>
      <c r="J15" s="14">
        <f t="shared" si="7"/>
        <v>12</v>
      </c>
      <c r="K15" s="15">
        <f t="shared" ref="K15:K104" si="9">DIVIDE(J15,8)</f>
        <v>1.5</v>
      </c>
    </row>
    <row r="16">
      <c r="A16" s="16">
        <v>2.1</v>
      </c>
      <c r="B16" s="17"/>
      <c r="C16" s="18" t="s">
        <v>33</v>
      </c>
      <c r="D16" s="17"/>
      <c r="E16" s="19">
        <f t="shared" ref="E16:J16" si="8">SUM(E17:E19)</f>
        <v>0.8</v>
      </c>
      <c r="F16" s="19">
        <f t="shared" si="8"/>
        <v>1.6</v>
      </c>
      <c r="G16" s="19">
        <f t="shared" si="8"/>
        <v>3.6</v>
      </c>
      <c r="H16" s="19">
        <f t="shared" si="8"/>
        <v>1.2</v>
      </c>
      <c r="I16" s="19">
        <f t="shared" si="8"/>
        <v>0.8</v>
      </c>
      <c r="J16" s="19">
        <f t="shared" si="8"/>
        <v>8</v>
      </c>
      <c r="K16" s="15">
        <f t="shared" si="9"/>
        <v>1</v>
      </c>
    </row>
    <row r="17" ht="33.75" customHeight="1">
      <c r="A17" s="16" t="s">
        <v>34</v>
      </c>
      <c r="B17" s="17"/>
      <c r="C17" s="17"/>
      <c r="D17" s="17" t="s">
        <v>35</v>
      </c>
      <c r="E17" s="20">
        <v>0.8</v>
      </c>
      <c r="F17" s="20">
        <v>1.2</v>
      </c>
      <c r="G17" s="22">
        <v>1.4</v>
      </c>
      <c r="H17" s="20">
        <v>0.4</v>
      </c>
      <c r="I17" s="20">
        <v>0.4</v>
      </c>
      <c r="J17" s="20">
        <f t="shared" ref="J17:J19" si="10">SUM(E17:I17)</f>
        <v>4.2</v>
      </c>
      <c r="K17" s="15">
        <f t="shared" si="9"/>
        <v>0.525</v>
      </c>
    </row>
    <row r="18" ht="33.75" customHeight="1">
      <c r="A18" s="16" t="s">
        <v>36</v>
      </c>
      <c r="B18" s="17"/>
      <c r="C18" s="17"/>
      <c r="D18" s="17" t="s">
        <v>37</v>
      </c>
      <c r="E18" s="20" t="s">
        <v>17</v>
      </c>
      <c r="F18" s="20" t="s">
        <v>17</v>
      </c>
      <c r="G18" s="22">
        <v>1.4</v>
      </c>
      <c r="H18" s="20">
        <v>0.4</v>
      </c>
      <c r="I18" s="20">
        <v>0.4</v>
      </c>
      <c r="J18" s="20">
        <f t="shared" si="10"/>
        <v>2.2</v>
      </c>
      <c r="K18" s="15">
        <f t="shared" si="9"/>
        <v>0.275</v>
      </c>
    </row>
    <row r="19" ht="33.75" customHeight="1">
      <c r="A19" s="16" t="s">
        <v>38</v>
      </c>
      <c r="B19" s="17"/>
      <c r="C19" s="17"/>
      <c r="D19" s="17" t="s">
        <v>39</v>
      </c>
      <c r="E19" s="20" t="s">
        <v>17</v>
      </c>
      <c r="F19" s="20">
        <v>0.4</v>
      </c>
      <c r="G19" s="20">
        <v>0.8</v>
      </c>
      <c r="H19" s="20">
        <v>0.4</v>
      </c>
      <c r="I19" s="20" t="s">
        <v>17</v>
      </c>
      <c r="J19" s="20">
        <f t="shared" si="10"/>
        <v>1.6</v>
      </c>
      <c r="K19" s="15">
        <f t="shared" si="9"/>
        <v>0.2</v>
      </c>
    </row>
    <row r="20">
      <c r="A20" s="16">
        <v>2.2</v>
      </c>
      <c r="B20" s="17"/>
      <c r="C20" s="18" t="s">
        <v>40</v>
      </c>
      <c r="D20" s="17"/>
      <c r="E20" s="19">
        <f t="shared" ref="E20:J20" si="11">SUM(E21:E22)</f>
        <v>0</v>
      </c>
      <c r="F20" s="19">
        <f t="shared" si="11"/>
        <v>0</v>
      </c>
      <c r="G20" s="19">
        <f t="shared" si="11"/>
        <v>2.4</v>
      </c>
      <c r="H20" s="19">
        <f t="shared" si="11"/>
        <v>1.2</v>
      </c>
      <c r="I20" s="19">
        <f t="shared" si="11"/>
        <v>0.4</v>
      </c>
      <c r="J20" s="19">
        <f t="shared" si="11"/>
        <v>4</v>
      </c>
      <c r="K20" s="15">
        <f t="shared" si="9"/>
        <v>0.5</v>
      </c>
    </row>
    <row r="21" ht="33.75" customHeight="1">
      <c r="A21" s="16" t="s">
        <v>41</v>
      </c>
      <c r="B21" s="17"/>
      <c r="C21" s="17"/>
      <c r="D21" s="17" t="s">
        <v>42</v>
      </c>
      <c r="E21" s="20" t="s">
        <v>17</v>
      </c>
      <c r="F21" s="20" t="s">
        <v>17</v>
      </c>
      <c r="G21" s="20">
        <v>1.6</v>
      </c>
      <c r="H21" s="20">
        <v>0.4</v>
      </c>
      <c r="I21" s="20">
        <v>0.4</v>
      </c>
      <c r="J21" s="20">
        <f t="shared" ref="J21:J22" si="12">SUM(E21:I21)</f>
        <v>2.4</v>
      </c>
      <c r="K21" s="15">
        <f t="shared" si="9"/>
        <v>0.3</v>
      </c>
    </row>
    <row r="22" ht="33.75" customHeight="1">
      <c r="A22" s="16" t="s">
        <v>43</v>
      </c>
      <c r="B22" s="17"/>
      <c r="C22" s="17"/>
      <c r="D22" s="17" t="s">
        <v>44</v>
      </c>
      <c r="E22" s="20" t="s">
        <v>17</v>
      </c>
      <c r="F22" s="20" t="s">
        <v>17</v>
      </c>
      <c r="G22" s="20">
        <v>0.8</v>
      </c>
      <c r="H22" s="20">
        <v>0.8</v>
      </c>
      <c r="I22" s="20" t="s">
        <v>17</v>
      </c>
      <c r="J22" s="20">
        <f t="shared" si="12"/>
        <v>1.6</v>
      </c>
      <c r="K22" s="15">
        <f t="shared" si="9"/>
        <v>0.2</v>
      </c>
    </row>
    <row r="23" ht="15.75" customHeight="1">
      <c r="A23" s="12">
        <v>3.0</v>
      </c>
      <c r="B23" s="21" t="s">
        <v>45</v>
      </c>
      <c r="E23" s="14">
        <f t="shared" ref="E23:J23" si="13">E24+E28+E32+E37+E39+E44</f>
        <v>3.8</v>
      </c>
      <c r="F23" s="14">
        <f t="shared" si="13"/>
        <v>5.2</v>
      </c>
      <c r="G23" s="14">
        <f t="shared" si="13"/>
        <v>13.1</v>
      </c>
      <c r="H23" s="14">
        <f t="shared" si="13"/>
        <v>7.9</v>
      </c>
      <c r="I23" s="14">
        <f t="shared" si="13"/>
        <v>0</v>
      </c>
      <c r="J23" s="14">
        <f t="shared" si="13"/>
        <v>30</v>
      </c>
      <c r="K23" s="15">
        <f t="shared" si="9"/>
        <v>3.75</v>
      </c>
    </row>
    <row r="24" ht="15.75" customHeight="1">
      <c r="A24" s="16">
        <v>3.1</v>
      </c>
      <c r="B24" s="17"/>
      <c r="C24" s="18" t="s">
        <v>46</v>
      </c>
      <c r="D24" s="17"/>
      <c r="E24" s="19">
        <f t="shared" ref="E24:F24" si="14">SUM(E25:E26)</f>
        <v>0.4</v>
      </c>
      <c r="F24" s="19">
        <f t="shared" si="14"/>
        <v>0.8</v>
      </c>
      <c r="G24" s="19">
        <f t="shared" ref="G24:H24" si="15">SUM(G25:G27)</f>
        <v>2.8</v>
      </c>
      <c r="H24" s="19">
        <f t="shared" si="15"/>
        <v>1.6</v>
      </c>
      <c r="I24" s="19">
        <f>SUM(I25:I26)</f>
        <v>0</v>
      </c>
      <c r="J24" s="19">
        <f>SUM(J25:J27)</f>
        <v>5.6</v>
      </c>
      <c r="K24" s="15">
        <f t="shared" si="9"/>
        <v>0.7</v>
      </c>
    </row>
    <row r="25" ht="33.75" customHeight="1">
      <c r="A25" s="16" t="s">
        <v>47</v>
      </c>
      <c r="B25" s="17"/>
      <c r="C25" s="17"/>
      <c r="D25" s="17" t="s">
        <v>48</v>
      </c>
      <c r="E25" s="20">
        <v>0.4</v>
      </c>
      <c r="F25" s="20">
        <v>0.8</v>
      </c>
      <c r="G25" s="22">
        <v>1.0</v>
      </c>
      <c r="H25" s="20">
        <v>0.4</v>
      </c>
      <c r="I25" s="20" t="s">
        <v>17</v>
      </c>
      <c r="J25" s="20">
        <f t="shared" ref="J25:J27" si="16">SUM(E25:I25)</f>
        <v>2.6</v>
      </c>
      <c r="K25" s="15">
        <f t="shared" si="9"/>
        <v>0.325</v>
      </c>
    </row>
    <row r="26" ht="33.75" customHeight="1">
      <c r="A26" s="16" t="s">
        <v>49</v>
      </c>
      <c r="B26" s="17"/>
      <c r="C26" s="17"/>
      <c r="D26" s="17" t="s">
        <v>50</v>
      </c>
      <c r="E26" s="20" t="s">
        <v>17</v>
      </c>
      <c r="F26" s="20" t="s">
        <v>17</v>
      </c>
      <c r="G26" s="22">
        <v>1.0</v>
      </c>
      <c r="H26" s="20">
        <v>0.4</v>
      </c>
      <c r="I26" s="20" t="s">
        <v>17</v>
      </c>
      <c r="J26" s="20">
        <f t="shared" si="16"/>
        <v>1.4</v>
      </c>
      <c r="K26" s="15">
        <f t="shared" si="9"/>
        <v>0.175</v>
      </c>
    </row>
    <row r="27" ht="33.75" customHeight="1">
      <c r="A27" s="16"/>
      <c r="B27" s="17"/>
      <c r="C27" s="17"/>
      <c r="D27" s="23" t="s">
        <v>51</v>
      </c>
      <c r="E27" s="20" t="s">
        <v>17</v>
      </c>
      <c r="F27" s="20" t="s">
        <v>17</v>
      </c>
      <c r="G27" s="20">
        <v>0.8</v>
      </c>
      <c r="H27" s="20">
        <v>0.8</v>
      </c>
      <c r="I27" s="20" t="s">
        <v>17</v>
      </c>
      <c r="J27" s="20">
        <f t="shared" si="16"/>
        <v>1.6</v>
      </c>
      <c r="K27" s="15">
        <f t="shared" si="9"/>
        <v>0.2</v>
      </c>
    </row>
    <row r="28" ht="15.75" customHeight="1">
      <c r="A28" s="16">
        <v>3.2</v>
      </c>
      <c r="B28" s="17"/>
      <c r="C28" s="18" t="s">
        <v>52</v>
      </c>
      <c r="D28" s="17"/>
      <c r="E28" s="19">
        <f t="shared" ref="E28:J28" si="17">SUM(E29:E31)</f>
        <v>0.4</v>
      </c>
      <c r="F28" s="19">
        <f t="shared" si="17"/>
        <v>0.8</v>
      </c>
      <c r="G28" s="19">
        <f t="shared" si="17"/>
        <v>2.6</v>
      </c>
      <c r="H28" s="19">
        <f t="shared" si="17"/>
        <v>1.5</v>
      </c>
      <c r="I28" s="19">
        <f t="shared" si="17"/>
        <v>0</v>
      </c>
      <c r="J28" s="19">
        <f t="shared" si="17"/>
        <v>5.3</v>
      </c>
      <c r="K28" s="15">
        <f t="shared" si="9"/>
        <v>0.6625</v>
      </c>
    </row>
    <row r="29" ht="33.75" customHeight="1">
      <c r="A29" s="16" t="s">
        <v>53</v>
      </c>
      <c r="B29" s="17"/>
      <c r="C29" s="17"/>
      <c r="D29" s="17" t="s">
        <v>54</v>
      </c>
      <c r="E29" s="20">
        <v>0.4</v>
      </c>
      <c r="F29" s="20">
        <v>0.8</v>
      </c>
      <c r="G29" s="20">
        <v>0.8</v>
      </c>
      <c r="H29" s="20">
        <v>0.4</v>
      </c>
      <c r="I29" s="20" t="s">
        <v>17</v>
      </c>
      <c r="J29" s="20">
        <f t="shared" ref="J29:J31" si="18">SUM(E29:I29)</f>
        <v>2.4</v>
      </c>
      <c r="K29" s="15">
        <f t="shared" si="9"/>
        <v>0.3</v>
      </c>
    </row>
    <row r="30" ht="33.75" customHeight="1">
      <c r="A30" s="16" t="s">
        <v>55</v>
      </c>
      <c r="B30" s="17"/>
      <c r="C30" s="17"/>
      <c r="D30" s="17" t="s">
        <v>56</v>
      </c>
      <c r="E30" s="20" t="s">
        <v>17</v>
      </c>
      <c r="F30" s="20" t="s">
        <v>17</v>
      </c>
      <c r="G30" s="20">
        <v>0.8</v>
      </c>
      <c r="H30" s="22">
        <v>0.7</v>
      </c>
      <c r="I30" s="20" t="s">
        <v>17</v>
      </c>
      <c r="J30" s="20">
        <f t="shared" si="18"/>
        <v>1.5</v>
      </c>
      <c r="K30" s="15">
        <f t="shared" si="9"/>
        <v>0.1875</v>
      </c>
    </row>
    <row r="31" ht="33.75" customHeight="1">
      <c r="A31" s="16" t="s">
        <v>57</v>
      </c>
      <c r="B31" s="17"/>
      <c r="C31" s="17"/>
      <c r="D31" s="17" t="s">
        <v>58</v>
      </c>
      <c r="E31" s="20" t="s">
        <v>17</v>
      </c>
      <c r="F31" s="20" t="s">
        <v>17</v>
      </c>
      <c r="G31" s="22">
        <v>1.0</v>
      </c>
      <c r="H31" s="20">
        <v>0.4</v>
      </c>
      <c r="I31" s="20" t="s">
        <v>17</v>
      </c>
      <c r="J31" s="20">
        <f t="shared" si="18"/>
        <v>1.4</v>
      </c>
      <c r="K31" s="15">
        <f t="shared" si="9"/>
        <v>0.175</v>
      </c>
    </row>
    <row r="32" ht="15.75" customHeight="1">
      <c r="A32" s="16">
        <v>3.3</v>
      </c>
      <c r="B32" s="17"/>
      <c r="C32" s="18" t="s">
        <v>59</v>
      </c>
      <c r="D32" s="17"/>
      <c r="E32" s="19">
        <f t="shared" ref="E32:J32" si="19">SUM(E33:E36)</f>
        <v>0.9</v>
      </c>
      <c r="F32" s="19">
        <f t="shared" si="19"/>
        <v>2</v>
      </c>
      <c r="G32" s="19">
        <f t="shared" si="19"/>
        <v>4.1</v>
      </c>
      <c r="H32" s="19">
        <f t="shared" si="19"/>
        <v>2</v>
      </c>
      <c r="I32" s="19">
        <f t="shared" si="19"/>
        <v>0</v>
      </c>
      <c r="J32" s="19">
        <f t="shared" si="19"/>
        <v>9</v>
      </c>
      <c r="K32" s="15">
        <f t="shared" si="9"/>
        <v>1.125</v>
      </c>
    </row>
    <row r="33" ht="33.75" customHeight="1">
      <c r="A33" s="16" t="s">
        <v>60</v>
      </c>
      <c r="B33" s="17"/>
      <c r="C33" s="17"/>
      <c r="D33" s="17" t="s">
        <v>61</v>
      </c>
      <c r="E33" s="20" t="s">
        <v>17</v>
      </c>
      <c r="F33" s="20">
        <v>0.4</v>
      </c>
      <c r="G33" s="22">
        <v>1.5</v>
      </c>
      <c r="H33" s="20">
        <v>0.4</v>
      </c>
      <c r="I33" s="20" t="s">
        <v>17</v>
      </c>
      <c r="J33" s="20">
        <f t="shared" ref="J33:J36" si="20">SUM(E33:I33)</f>
        <v>2.3</v>
      </c>
      <c r="K33" s="15">
        <f t="shared" si="9"/>
        <v>0.2875</v>
      </c>
    </row>
    <row r="34" ht="33.75" customHeight="1">
      <c r="A34" s="16" t="s">
        <v>62</v>
      </c>
      <c r="B34" s="17"/>
      <c r="C34" s="17"/>
      <c r="D34" s="17" t="s">
        <v>63</v>
      </c>
      <c r="E34" s="20">
        <v>0.4</v>
      </c>
      <c r="F34" s="20">
        <v>0.4</v>
      </c>
      <c r="G34" s="22">
        <v>1.0</v>
      </c>
      <c r="H34" s="20">
        <v>0.4</v>
      </c>
      <c r="I34" s="20" t="s">
        <v>17</v>
      </c>
      <c r="J34" s="20">
        <f t="shared" si="20"/>
        <v>2.2</v>
      </c>
      <c r="K34" s="15">
        <f t="shared" si="9"/>
        <v>0.275</v>
      </c>
    </row>
    <row r="35" ht="33.75" customHeight="1">
      <c r="A35" s="16" t="s">
        <v>64</v>
      </c>
      <c r="B35" s="17"/>
      <c r="C35" s="17"/>
      <c r="D35" s="17" t="s">
        <v>65</v>
      </c>
      <c r="E35" s="20">
        <v>0.4</v>
      </c>
      <c r="F35" s="20">
        <v>0.4</v>
      </c>
      <c r="G35" s="20">
        <v>0.8</v>
      </c>
      <c r="H35" s="20">
        <v>0.4</v>
      </c>
      <c r="I35" s="20" t="s">
        <v>17</v>
      </c>
      <c r="J35" s="20">
        <f t="shared" si="20"/>
        <v>2</v>
      </c>
      <c r="K35" s="15">
        <f t="shared" si="9"/>
        <v>0.25</v>
      </c>
    </row>
    <row r="36" ht="33.75" customHeight="1">
      <c r="A36" s="16" t="s">
        <v>66</v>
      </c>
      <c r="B36" s="17"/>
      <c r="C36" s="17"/>
      <c r="D36" s="17" t="s">
        <v>67</v>
      </c>
      <c r="E36" s="22">
        <v>0.1</v>
      </c>
      <c r="F36" s="20">
        <v>0.8</v>
      </c>
      <c r="G36" s="20">
        <v>0.8</v>
      </c>
      <c r="H36" s="20">
        <v>0.8</v>
      </c>
      <c r="I36" s="20" t="s">
        <v>17</v>
      </c>
      <c r="J36" s="20">
        <f t="shared" si="20"/>
        <v>2.5</v>
      </c>
      <c r="K36" s="15">
        <f t="shared" si="9"/>
        <v>0.3125</v>
      </c>
    </row>
    <row r="37" ht="15.75" customHeight="1">
      <c r="A37" s="16">
        <v>3.4</v>
      </c>
      <c r="B37" s="17"/>
      <c r="C37" s="18" t="s">
        <v>68</v>
      </c>
      <c r="D37" s="17"/>
      <c r="E37" s="19">
        <f t="shared" ref="E37:J37" si="21">SUM(E38)</f>
        <v>0.8</v>
      </c>
      <c r="F37" s="19">
        <f t="shared" si="21"/>
        <v>0.3</v>
      </c>
      <c r="G37" s="19">
        <f t="shared" si="21"/>
        <v>0.8</v>
      </c>
      <c r="H37" s="19">
        <f t="shared" si="21"/>
        <v>0.4</v>
      </c>
      <c r="I37" s="19">
        <f t="shared" si="21"/>
        <v>0</v>
      </c>
      <c r="J37" s="19">
        <f t="shared" si="21"/>
        <v>2.3</v>
      </c>
      <c r="K37" s="15">
        <f t="shared" si="9"/>
        <v>0.2875</v>
      </c>
    </row>
    <row r="38" ht="33.75" customHeight="1">
      <c r="A38" s="16" t="s">
        <v>69</v>
      </c>
      <c r="B38" s="17"/>
      <c r="C38" s="17"/>
      <c r="D38" s="17" t="s">
        <v>70</v>
      </c>
      <c r="E38" s="20">
        <v>0.8</v>
      </c>
      <c r="F38" s="20">
        <v>0.3</v>
      </c>
      <c r="G38" s="20">
        <v>0.8</v>
      </c>
      <c r="H38" s="20">
        <v>0.4</v>
      </c>
      <c r="I38" s="20" t="s">
        <v>17</v>
      </c>
      <c r="J38" s="20">
        <f>SUM(E38:I38)</f>
        <v>2.3</v>
      </c>
      <c r="K38" s="15">
        <f t="shared" si="9"/>
        <v>0.2875</v>
      </c>
    </row>
    <row r="39" ht="15.75" customHeight="1">
      <c r="A39" s="16">
        <v>3.5</v>
      </c>
      <c r="B39" s="17"/>
      <c r="C39" s="18" t="s">
        <v>71</v>
      </c>
      <c r="D39" s="17"/>
      <c r="E39" s="19">
        <f t="shared" ref="E39:J39" si="22">SUM(E40:E43)</f>
        <v>0.8</v>
      </c>
      <c r="F39" s="19">
        <f t="shared" si="22"/>
        <v>0.8</v>
      </c>
      <c r="G39" s="19">
        <f t="shared" si="22"/>
        <v>1.8</v>
      </c>
      <c r="H39" s="19">
        <f t="shared" si="22"/>
        <v>1.9</v>
      </c>
      <c r="I39" s="19">
        <f t="shared" si="22"/>
        <v>0</v>
      </c>
      <c r="J39" s="19">
        <f t="shared" si="22"/>
        <v>5.3</v>
      </c>
      <c r="K39" s="15">
        <f t="shared" si="9"/>
        <v>0.6625</v>
      </c>
    </row>
    <row r="40" ht="33.75" customHeight="1">
      <c r="A40" s="16" t="s">
        <v>72</v>
      </c>
      <c r="B40" s="17"/>
      <c r="C40" s="17"/>
      <c r="D40" s="17" t="s">
        <v>73</v>
      </c>
      <c r="E40" s="20" t="s">
        <v>17</v>
      </c>
      <c r="F40" s="20" t="s">
        <v>17</v>
      </c>
      <c r="G40" s="20">
        <v>0.8</v>
      </c>
      <c r="H40" s="20">
        <v>0.4</v>
      </c>
      <c r="I40" s="20" t="s">
        <v>17</v>
      </c>
      <c r="J40" s="20">
        <f t="shared" ref="J40:J43" si="23">SUM(E40:I40)</f>
        <v>1.2</v>
      </c>
      <c r="K40" s="15">
        <f t="shared" si="9"/>
        <v>0.15</v>
      </c>
    </row>
    <row r="41" ht="33.75" customHeight="1">
      <c r="A41" s="16" t="s">
        <v>74</v>
      </c>
      <c r="B41" s="17"/>
      <c r="C41" s="17"/>
      <c r="D41" s="17" t="s">
        <v>75</v>
      </c>
      <c r="E41" s="20">
        <v>0.4</v>
      </c>
      <c r="F41" s="20">
        <v>0.4</v>
      </c>
      <c r="G41" s="20">
        <v>0.3</v>
      </c>
      <c r="H41" s="20">
        <v>0.4</v>
      </c>
      <c r="I41" s="20" t="s">
        <v>17</v>
      </c>
      <c r="J41" s="20">
        <f t="shared" si="23"/>
        <v>1.5</v>
      </c>
      <c r="K41" s="15">
        <f t="shared" si="9"/>
        <v>0.1875</v>
      </c>
    </row>
    <row r="42" ht="33.75" customHeight="1">
      <c r="A42" s="16" t="s">
        <v>76</v>
      </c>
      <c r="B42" s="17"/>
      <c r="C42" s="17"/>
      <c r="D42" s="17" t="s">
        <v>77</v>
      </c>
      <c r="E42" s="20">
        <v>0.4</v>
      </c>
      <c r="F42" s="20">
        <v>0.4</v>
      </c>
      <c r="G42" s="20">
        <v>0.3</v>
      </c>
      <c r="H42" s="20">
        <v>0.4</v>
      </c>
      <c r="I42" s="20" t="s">
        <v>17</v>
      </c>
      <c r="J42" s="20">
        <f t="shared" si="23"/>
        <v>1.5</v>
      </c>
      <c r="K42" s="15">
        <f t="shared" si="9"/>
        <v>0.1875</v>
      </c>
    </row>
    <row r="43" ht="33.75" customHeight="1">
      <c r="A43" s="16" t="s">
        <v>78</v>
      </c>
      <c r="B43" s="17"/>
      <c r="C43" s="17"/>
      <c r="D43" s="17" t="s">
        <v>79</v>
      </c>
      <c r="E43" s="20" t="s">
        <v>17</v>
      </c>
      <c r="F43" s="20" t="s">
        <v>17</v>
      </c>
      <c r="G43" s="20">
        <v>0.4</v>
      </c>
      <c r="H43" s="20">
        <v>0.7</v>
      </c>
      <c r="I43" s="20" t="s">
        <v>17</v>
      </c>
      <c r="J43" s="20">
        <f t="shared" si="23"/>
        <v>1.1</v>
      </c>
      <c r="K43" s="15">
        <f t="shared" si="9"/>
        <v>0.1375</v>
      </c>
    </row>
    <row r="44" ht="15.75" customHeight="1">
      <c r="A44" s="16">
        <v>3.6</v>
      </c>
      <c r="B44" s="24"/>
      <c r="C44" s="25" t="s">
        <v>80</v>
      </c>
      <c r="D44" s="24"/>
      <c r="E44" s="26">
        <f t="shared" ref="E44:J44" si="24">SUM(E45)</f>
        <v>0.5</v>
      </c>
      <c r="F44" s="26">
        <f t="shared" si="24"/>
        <v>0.5</v>
      </c>
      <c r="G44" s="26">
        <f t="shared" si="24"/>
        <v>1</v>
      </c>
      <c r="H44" s="26">
        <f t="shared" si="24"/>
        <v>0.5</v>
      </c>
      <c r="I44" s="26">
        <f t="shared" si="24"/>
        <v>0</v>
      </c>
      <c r="J44" s="26">
        <f t="shared" si="24"/>
        <v>2.5</v>
      </c>
      <c r="K44" s="15">
        <f t="shared" si="9"/>
        <v>0.3125</v>
      </c>
    </row>
    <row r="45" ht="39.75" customHeight="1">
      <c r="A45" s="16" t="s">
        <v>81</v>
      </c>
      <c r="C45" s="17"/>
      <c r="D45" s="17" t="s">
        <v>82</v>
      </c>
      <c r="E45" s="20">
        <v>0.5</v>
      </c>
      <c r="F45" s="20">
        <v>0.5</v>
      </c>
      <c r="G45" s="20">
        <v>1.0</v>
      </c>
      <c r="H45" s="20">
        <v>0.5</v>
      </c>
      <c r="I45" s="20" t="s">
        <v>17</v>
      </c>
      <c r="J45" s="20">
        <f>SUM(E45:I45)</f>
        <v>2.5</v>
      </c>
      <c r="K45" s="15">
        <f t="shared" si="9"/>
        <v>0.3125</v>
      </c>
    </row>
    <row r="46" ht="33.75" customHeight="1">
      <c r="A46" s="12">
        <v>4.0</v>
      </c>
      <c r="B46" s="21" t="s">
        <v>83</v>
      </c>
      <c r="E46" s="14">
        <f t="shared" ref="E46:J46" si="25">E47+E52</f>
        <v>3.2</v>
      </c>
      <c r="F46" s="14">
        <f t="shared" si="25"/>
        <v>5.8</v>
      </c>
      <c r="G46" s="14">
        <f t="shared" si="25"/>
        <v>7.6</v>
      </c>
      <c r="H46" s="14">
        <f t="shared" si="25"/>
        <v>4.4</v>
      </c>
      <c r="I46" s="14">
        <f t="shared" si="25"/>
        <v>0</v>
      </c>
      <c r="J46" s="14">
        <f t="shared" si="25"/>
        <v>21</v>
      </c>
      <c r="K46" s="15">
        <f t="shared" si="9"/>
        <v>2.625</v>
      </c>
    </row>
    <row r="47" ht="33.75" customHeight="1">
      <c r="A47" s="16">
        <v>4.1</v>
      </c>
      <c r="B47" s="17"/>
      <c r="C47" s="18" t="s">
        <v>84</v>
      </c>
      <c r="D47" s="17"/>
      <c r="E47" s="19">
        <f t="shared" ref="E47:J47" si="26">SUM(E48:E51)</f>
        <v>2</v>
      </c>
      <c r="F47" s="19">
        <f t="shared" si="26"/>
        <v>4.2</v>
      </c>
      <c r="G47" s="19">
        <f t="shared" si="26"/>
        <v>2.8</v>
      </c>
      <c r="H47" s="19">
        <f t="shared" si="26"/>
        <v>2.4</v>
      </c>
      <c r="I47" s="19">
        <f t="shared" si="26"/>
        <v>0</v>
      </c>
      <c r="J47" s="19">
        <f t="shared" si="26"/>
        <v>11.4</v>
      </c>
      <c r="K47" s="15">
        <f t="shared" si="9"/>
        <v>1.425</v>
      </c>
    </row>
    <row r="48" ht="33.75" customHeight="1">
      <c r="A48" s="16" t="s">
        <v>85</v>
      </c>
      <c r="B48" s="17"/>
      <c r="C48" s="17"/>
      <c r="D48" s="17" t="s">
        <v>86</v>
      </c>
      <c r="E48" s="20">
        <v>0.4</v>
      </c>
      <c r="F48" s="20">
        <v>0.8</v>
      </c>
      <c r="G48" s="20">
        <v>0.8</v>
      </c>
      <c r="H48" s="20">
        <v>0.4</v>
      </c>
      <c r="I48" s="20" t="s">
        <v>17</v>
      </c>
      <c r="J48" s="20">
        <f t="shared" ref="J48:J51" si="27">SUM(E48:I48)</f>
        <v>2.4</v>
      </c>
      <c r="K48" s="15">
        <f t="shared" si="9"/>
        <v>0.3</v>
      </c>
    </row>
    <row r="49" ht="33.75" customHeight="1">
      <c r="A49" s="16" t="s">
        <v>87</v>
      </c>
      <c r="B49" s="17"/>
      <c r="C49" s="17"/>
      <c r="D49" s="17" t="s">
        <v>88</v>
      </c>
      <c r="E49" s="20">
        <v>0.8</v>
      </c>
      <c r="F49" s="20">
        <v>2.0</v>
      </c>
      <c r="G49" s="20">
        <v>0.8</v>
      </c>
      <c r="H49" s="20">
        <v>0.8</v>
      </c>
      <c r="I49" s="20" t="s">
        <v>17</v>
      </c>
      <c r="J49" s="20">
        <f t="shared" si="27"/>
        <v>4.4</v>
      </c>
      <c r="K49" s="15">
        <f t="shared" si="9"/>
        <v>0.55</v>
      </c>
    </row>
    <row r="50" ht="15.75" customHeight="1">
      <c r="A50" s="16" t="s">
        <v>89</v>
      </c>
      <c r="B50" s="17"/>
      <c r="C50" s="17"/>
      <c r="D50" s="17" t="s">
        <v>90</v>
      </c>
      <c r="E50" s="20">
        <v>0.8</v>
      </c>
      <c r="F50" s="22">
        <v>1.0</v>
      </c>
      <c r="G50" s="20">
        <v>0.4</v>
      </c>
      <c r="H50" s="20">
        <v>0.8</v>
      </c>
      <c r="I50" s="20" t="s">
        <v>17</v>
      </c>
      <c r="J50" s="20">
        <f t="shared" si="27"/>
        <v>3</v>
      </c>
      <c r="K50" s="15">
        <f t="shared" si="9"/>
        <v>0.375</v>
      </c>
    </row>
    <row r="51" ht="33.75" customHeight="1">
      <c r="A51" s="16" t="s">
        <v>91</v>
      </c>
      <c r="B51" s="17"/>
      <c r="C51" s="17"/>
      <c r="D51" s="17" t="s">
        <v>92</v>
      </c>
      <c r="E51" s="20" t="s">
        <v>17</v>
      </c>
      <c r="F51" s="20">
        <v>0.4</v>
      </c>
      <c r="G51" s="20">
        <v>0.8</v>
      </c>
      <c r="H51" s="20">
        <v>0.4</v>
      </c>
      <c r="I51" s="20" t="s">
        <v>17</v>
      </c>
      <c r="J51" s="20">
        <f t="shared" si="27"/>
        <v>1.6</v>
      </c>
      <c r="K51" s="15">
        <f t="shared" si="9"/>
        <v>0.2</v>
      </c>
    </row>
    <row r="52" ht="33.75" customHeight="1">
      <c r="A52" s="16">
        <v>4.2</v>
      </c>
      <c r="B52" s="17"/>
      <c r="C52" s="18" t="s">
        <v>93</v>
      </c>
      <c r="D52" s="17"/>
      <c r="E52" s="19">
        <f t="shared" ref="E52:J52" si="28">SUM(E53:E56)</f>
        <v>1.2</v>
      </c>
      <c r="F52" s="19">
        <f t="shared" si="28"/>
        <v>1.6</v>
      </c>
      <c r="G52" s="19">
        <f t="shared" si="28"/>
        <v>4.8</v>
      </c>
      <c r="H52" s="19">
        <f t="shared" si="28"/>
        <v>2</v>
      </c>
      <c r="I52" s="19">
        <f t="shared" si="28"/>
        <v>0</v>
      </c>
      <c r="J52" s="19">
        <f t="shared" si="28"/>
        <v>9.6</v>
      </c>
      <c r="K52" s="15">
        <f t="shared" si="9"/>
        <v>1.2</v>
      </c>
    </row>
    <row r="53" ht="33.75" customHeight="1">
      <c r="A53" s="16" t="s">
        <v>94</v>
      </c>
      <c r="B53" s="17"/>
      <c r="C53" s="17"/>
      <c r="D53" s="17" t="s">
        <v>95</v>
      </c>
      <c r="E53" s="20" t="s">
        <v>17</v>
      </c>
      <c r="F53" s="20">
        <v>0.4</v>
      </c>
      <c r="G53" s="20">
        <v>1.6</v>
      </c>
      <c r="H53" s="20">
        <v>0.4</v>
      </c>
      <c r="I53" s="20" t="s">
        <v>17</v>
      </c>
      <c r="J53" s="20">
        <f t="shared" ref="J53:J56" si="29">SUM(E53:I53)</f>
        <v>2.4</v>
      </c>
      <c r="K53" s="15">
        <f t="shared" si="9"/>
        <v>0.3</v>
      </c>
    </row>
    <row r="54" ht="33.75" customHeight="1">
      <c r="A54" s="16" t="s">
        <v>96</v>
      </c>
      <c r="B54" s="17"/>
      <c r="C54" s="17"/>
      <c r="D54" s="17" t="s">
        <v>97</v>
      </c>
      <c r="E54" s="20">
        <v>0.4</v>
      </c>
      <c r="F54" s="20">
        <v>0.4</v>
      </c>
      <c r="G54" s="20">
        <v>1.2</v>
      </c>
      <c r="H54" s="20">
        <v>0.4</v>
      </c>
      <c r="I54" s="20" t="s">
        <v>17</v>
      </c>
      <c r="J54" s="20">
        <f t="shared" si="29"/>
        <v>2.4</v>
      </c>
      <c r="K54" s="15">
        <f t="shared" si="9"/>
        <v>0.3</v>
      </c>
    </row>
    <row r="55" ht="15.75" customHeight="1">
      <c r="A55" s="16" t="s">
        <v>98</v>
      </c>
      <c r="B55" s="17"/>
      <c r="C55" s="17"/>
      <c r="D55" s="17" t="s">
        <v>99</v>
      </c>
      <c r="E55" s="20">
        <v>0.8</v>
      </c>
      <c r="F55" s="20">
        <v>0.8</v>
      </c>
      <c r="G55" s="20">
        <v>1.2</v>
      </c>
      <c r="H55" s="20">
        <v>0.4</v>
      </c>
      <c r="I55" s="20" t="s">
        <v>17</v>
      </c>
      <c r="J55" s="20">
        <f t="shared" si="29"/>
        <v>3.2</v>
      </c>
      <c r="K55" s="15">
        <f t="shared" si="9"/>
        <v>0.4</v>
      </c>
    </row>
    <row r="56" ht="15.75" customHeight="1">
      <c r="A56" s="16" t="s">
        <v>100</v>
      </c>
      <c r="B56" s="17"/>
      <c r="C56" s="17"/>
      <c r="D56" s="17" t="s">
        <v>101</v>
      </c>
      <c r="E56" s="20" t="s">
        <v>17</v>
      </c>
      <c r="F56" s="20" t="s">
        <v>17</v>
      </c>
      <c r="G56" s="20">
        <v>0.8</v>
      </c>
      <c r="H56" s="20">
        <v>0.8</v>
      </c>
      <c r="I56" s="20" t="s">
        <v>17</v>
      </c>
      <c r="J56" s="20">
        <f t="shared" si="29"/>
        <v>1.6</v>
      </c>
      <c r="K56" s="15">
        <f t="shared" si="9"/>
        <v>0.2</v>
      </c>
    </row>
    <row r="57" ht="33.75" customHeight="1">
      <c r="A57" s="12">
        <v>5.0</v>
      </c>
      <c r="B57" s="21" t="s">
        <v>102</v>
      </c>
      <c r="E57" s="14">
        <f t="shared" ref="E57:J57" si="30">E58+E64</f>
        <v>2.8</v>
      </c>
      <c r="F57" s="14">
        <f t="shared" si="30"/>
        <v>3.2</v>
      </c>
      <c r="G57" s="14">
        <f t="shared" si="30"/>
        <v>11.4</v>
      </c>
      <c r="H57" s="14">
        <f t="shared" si="30"/>
        <v>3.6</v>
      </c>
      <c r="I57" s="14">
        <f t="shared" si="30"/>
        <v>0</v>
      </c>
      <c r="J57" s="14">
        <f t="shared" si="30"/>
        <v>21</v>
      </c>
      <c r="K57" s="15">
        <f t="shared" si="9"/>
        <v>2.625</v>
      </c>
    </row>
    <row r="58" ht="33.75" customHeight="1">
      <c r="A58" s="16">
        <v>5.1</v>
      </c>
      <c r="B58" s="17"/>
      <c r="C58" s="18" t="s">
        <v>103</v>
      </c>
      <c r="D58" s="17"/>
      <c r="E58" s="19">
        <f t="shared" ref="E58:J58" si="31">SUM(E59:E63)</f>
        <v>0.8</v>
      </c>
      <c r="F58" s="19">
        <f t="shared" si="31"/>
        <v>0.8</v>
      </c>
      <c r="G58" s="19">
        <f t="shared" si="31"/>
        <v>7.4</v>
      </c>
      <c r="H58" s="19">
        <f t="shared" si="31"/>
        <v>2</v>
      </c>
      <c r="I58" s="19">
        <f t="shared" si="31"/>
        <v>0</v>
      </c>
      <c r="J58" s="19">
        <f t="shared" si="31"/>
        <v>11</v>
      </c>
      <c r="K58" s="15">
        <f t="shared" si="9"/>
        <v>1.375</v>
      </c>
    </row>
    <row r="59" ht="33.75" customHeight="1">
      <c r="A59" s="16" t="s">
        <v>104</v>
      </c>
      <c r="B59" s="17"/>
      <c r="C59" s="17"/>
      <c r="D59" s="17" t="s">
        <v>105</v>
      </c>
      <c r="E59" s="20" t="s">
        <v>17</v>
      </c>
      <c r="F59" s="20" t="s">
        <v>17</v>
      </c>
      <c r="G59" s="20">
        <v>1.6</v>
      </c>
      <c r="H59" s="20">
        <v>0.4</v>
      </c>
      <c r="I59" s="20" t="s">
        <v>17</v>
      </c>
      <c r="J59" s="20">
        <f t="shared" ref="J59:J63" si="32">SUM(E59:I59)</f>
        <v>2</v>
      </c>
      <c r="K59" s="15">
        <f t="shared" si="9"/>
        <v>0.25</v>
      </c>
    </row>
    <row r="60" ht="33.75" customHeight="1">
      <c r="A60" s="16" t="s">
        <v>106</v>
      </c>
      <c r="B60" s="17"/>
      <c r="C60" s="17"/>
      <c r="D60" s="17" t="s">
        <v>107</v>
      </c>
      <c r="E60" s="20" t="s">
        <v>17</v>
      </c>
      <c r="F60" s="20" t="s">
        <v>17</v>
      </c>
      <c r="G60" s="22">
        <v>1.4</v>
      </c>
      <c r="H60" s="20">
        <v>0.4</v>
      </c>
      <c r="I60" s="20" t="s">
        <v>17</v>
      </c>
      <c r="J60" s="20">
        <f t="shared" si="32"/>
        <v>1.8</v>
      </c>
      <c r="K60" s="15">
        <f t="shared" si="9"/>
        <v>0.225</v>
      </c>
    </row>
    <row r="61" ht="33.75" customHeight="1">
      <c r="A61" s="16" t="s">
        <v>108</v>
      </c>
      <c r="B61" s="17"/>
      <c r="C61" s="17"/>
      <c r="D61" s="17" t="s">
        <v>109</v>
      </c>
      <c r="E61" s="20" t="s">
        <v>17</v>
      </c>
      <c r="F61" s="20" t="s">
        <v>17</v>
      </c>
      <c r="G61" s="20">
        <v>1.6</v>
      </c>
      <c r="H61" s="20">
        <v>0.4</v>
      </c>
      <c r="I61" s="20" t="s">
        <v>17</v>
      </c>
      <c r="J61" s="20">
        <f t="shared" si="32"/>
        <v>2</v>
      </c>
      <c r="K61" s="15">
        <f t="shared" si="9"/>
        <v>0.25</v>
      </c>
    </row>
    <row r="62" ht="15.75" customHeight="1">
      <c r="A62" s="16" t="s">
        <v>110</v>
      </c>
      <c r="B62" s="17"/>
      <c r="C62" s="17"/>
      <c r="D62" s="17" t="s">
        <v>111</v>
      </c>
      <c r="E62" s="20">
        <v>0.4</v>
      </c>
      <c r="F62" s="20">
        <v>0.4</v>
      </c>
      <c r="G62" s="20">
        <v>1.6</v>
      </c>
      <c r="H62" s="20">
        <v>0.4</v>
      </c>
      <c r="I62" s="20" t="s">
        <v>17</v>
      </c>
      <c r="J62" s="20">
        <f t="shared" si="32"/>
        <v>2.8</v>
      </c>
      <c r="K62" s="15">
        <f t="shared" si="9"/>
        <v>0.35</v>
      </c>
    </row>
    <row r="63" ht="33.75" customHeight="1">
      <c r="A63" s="16" t="s">
        <v>112</v>
      </c>
      <c r="B63" s="17"/>
      <c r="C63" s="17"/>
      <c r="D63" s="17" t="s">
        <v>113</v>
      </c>
      <c r="E63" s="20">
        <v>0.4</v>
      </c>
      <c r="F63" s="20">
        <v>0.4</v>
      </c>
      <c r="G63" s="22">
        <v>1.2</v>
      </c>
      <c r="H63" s="20">
        <v>0.4</v>
      </c>
      <c r="I63" s="20" t="s">
        <v>17</v>
      </c>
      <c r="J63" s="20">
        <f t="shared" si="32"/>
        <v>2.4</v>
      </c>
      <c r="K63" s="15">
        <f t="shared" si="9"/>
        <v>0.3</v>
      </c>
    </row>
    <row r="64" ht="33.75" customHeight="1">
      <c r="A64" s="16">
        <v>5.2</v>
      </c>
      <c r="B64" s="17"/>
      <c r="C64" s="18" t="s">
        <v>114</v>
      </c>
      <c r="D64" s="17"/>
      <c r="E64" s="19">
        <f t="shared" ref="E64:J64" si="33">SUM(E65:E68)</f>
        <v>2</v>
      </c>
      <c r="F64" s="19">
        <f t="shared" si="33"/>
        <v>2.4</v>
      </c>
      <c r="G64" s="19">
        <f t="shared" si="33"/>
        <v>4</v>
      </c>
      <c r="H64" s="19">
        <f t="shared" si="33"/>
        <v>1.6</v>
      </c>
      <c r="I64" s="19">
        <f t="shared" si="33"/>
        <v>0</v>
      </c>
      <c r="J64" s="19">
        <f t="shared" si="33"/>
        <v>10</v>
      </c>
      <c r="K64" s="15">
        <f t="shared" si="9"/>
        <v>1.25</v>
      </c>
    </row>
    <row r="65" ht="33.75" customHeight="1">
      <c r="A65" s="16" t="s">
        <v>115</v>
      </c>
      <c r="B65" s="17"/>
      <c r="C65" s="17"/>
      <c r="D65" s="17" t="s">
        <v>116</v>
      </c>
      <c r="E65" s="20">
        <v>0.4</v>
      </c>
      <c r="F65" s="20">
        <v>0.4</v>
      </c>
      <c r="G65" s="22">
        <v>1.4</v>
      </c>
      <c r="H65" s="20">
        <v>0.4</v>
      </c>
      <c r="I65" s="20" t="s">
        <v>17</v>
      </c>
      <c r="J65" s="20">
        <f t="shared" ref="J65:J68" si="34">SUM(E65:I65)</f>
        <v>2.6</v>
      </c>
      <c r="K65" s="15">
        <f t="shared" si="9"/>
        <v>0.325</v>
      </c>
    </row>
    <row r="66" ht="33.75" customHeight="1">
      <c r="A66" s="16" t="s">
        <v>117</v>
      </c>
      <c r="B66" s="17"/>
      <c r="C66" s="17"/>
      <c r="D66" s="17" t="s">
        <v>118</v>
      </c>
      <c r="E66" s="20">
        <v>0.4</v>
      </c>
      <c r="F66" s="20">
        <v>0.4</v>
      </c>
      <c r="G66" s="22">
        <v>1.0</v>
      </c>
      <c r="H66" s="20">
        <v>0.4</v>
      </c>
      <c r="I66" s="20" t="s">
        <v>17</v>
      </c>
      <c r="J66" s="20">
        <f t="shared" si="34"/>
        <v>2.2</v>
      </c>
      <c r="K66" s="15">
        <f t="shared" si="9"/>
        <v>0.275</v>
      </c>
    </row>
    <row r="67" ht="15.75" customHeight="1">
      <c r="A67" s="16" t="s">
        <v>119</v>
      </c>
      <c r="C67" s="17"/>
      <c r="D67" s="17" t="s">
        <v>120</v>
      </c>
      <c r="E67" s="20">
        <v>0.4</v>
      </c>
      <c r="F67" s="20">
        <v>0.8</v>
      </c>
      <c r="G67" s="20">
        <v>0.8</v>
      </c>
      <c r="H67" s="20">
        <v>0.4</v>
      </c>
      <c r="I67" s="20" t="s">
        <v>17</v>
      </c>
      <c r="J67" s="20">
        <f t="shared" si="34"/>
        <v>2.4</v>
      </c>
      <c r="K67" s="15">
        <f t="shared" si="9"/>
        <v>0.3</v>
      </c>
    </row>
    <row r="68" ht="15.75" customHeight="1">
      <c r="A68" s="16" t="s">
        <v>121</v>
      </c>
      <c r="B68" s="17"/>
      <c r="C68" s="17"/>
      <c r="D68" s="17" t="s">
        <v>122</v>
      </c>
      <c r="E68" s="20">
        <v>0.8</v>
      </c>
      <c r="F68" s="20">
        <v>0.8</v>
      </c>
      <c r="G68" s="20">
        <v>0.8</v>
      </c>
      <c r="H68" s="20">
        <v>0.4</v>
      </c>
      <c r="I68" s="20" t="s">
        <v>17</v>
      </c>
      <c r="J68" s="20">
        <f t="shared" si="34"/>
        <v>2.8</v>
      </c>
      <c r="K68" s="15">
        <f t="shared" si="9"/>
        <v>0.35</v>
      </c>
    </row>
    <row r="69" ht="33.75" customHeight="1">
      <c r="A69" s="12">
        <v>6.0</v>
      </c>
      <c r="B69" s="21" t="s">
        <v>123</v>
      </c>
      <c r="E69" s="14">
        <f t="shared" ref="E69:J69" si="35">E70</f>
        <v>1.2</v>
      </c>
      <c r="F69" s="14">
        <f t="shared" si="35"/>
        <v>1.2</v>
      </c>
      <c r="G69" s="14">
        <f t="shared" si="35"/>
        <v>5.6</v>
      </c>
      <c r="H69" s="14">
        <f t="shared" si="35"/>
        <v>2</v>
      </c>
      <c r="I69" s="14">
        <f t="shared" si="35"/>
        <v>0</v>
      </c>
      <c r="J69" s="14">
        <f t="shared" si="35"/>
        <v>10</v>
      </c>
      <c r="K69" s="15">
        <f t="shared" si="9"/>
        <v>1.25</v>
      </c>
    </row>
    <row r="70" ht="33.75" customHeight="1">
      <c r="A70" s="16">
        <v>6.1</v>
      </c>
      <c r="B70" s="17"/>
      <c r="C70" s="18" t="s">
        <v>124</v>
      </c>
      <c r="D70" s="17"/>
      <c r="E70" s="19">
        <f t="shared" ref="E70:J70" si="36">SUM(E71:E75)</f>
        <v>1.2</v>
      </c>
      <c r="F70" s="19">
        <f t="shared" si="36"/>
        <v>1.2</v>
      </c>
      <c r="G70" s="19">
        <f t="shared" si="36"/>
        <v>5.6</v>
      </c>
      <c r="H70" s="19">
        <f t="shared" si="36"/>
        <v>2</v>
      </c>
      <c r="I70" s="19">
        <f t="shared" si="36"/>
        <v>0</v>
      </c>
      <c r="J70" s="19">
        <f t="shared" si="36"/>
        <v>10</v>
      </c>
      <c r="K70" s="15">
        <f t="shared" si="9"/>
        <v>1.25</v>
      </c>
    </row>
    <row r="71" ht="33.75" customHeight="1">
      <c r="A71" s="16" t="s">
        <v>125</v>
      </c>
      <c r="B71" s="17"/>
      <c r="C71" s="17"/>
      <c r="D71" s="17" t="s">
        <v>126</v>
      </c>
      <c r="E71" s="20" t="s">
        <v>17</v>
      </c>
      <c r="F71" s="20" t="s">
        <v>17</v>
      </c>
      <c r="G71" s="20">
        <v>1.2</v>
      </c>
      <c r="H71" s="20">
        <v>0.4</v>
      </c>
      <c r="I71" s="20" t="s">
        <v>17</v>
      </c>
      <c r="J71" s="20">
        <f t="shared" ref="J71:J75" si="37">SUM(E71:I71)</f>
        <v>1.6</v>
      </c>
      <c r="K71" s="15">
        <f t="shared" si="9"/>
        <v>0.2</v>
      </c>
    </row>
    <row r="72" ht="33.75" customHeight="1">
      <c r="A72" s="16" t="s">
        <v>127</v>
      </c>
      <c r="B72" s="17"/>
      <c r="C72" s="17"/>
      <c r="D72" s="17" t="s">
        <v>128</v>
      </c>
      <c r="E72" s="20" t="s">
        <v>17</v>
      </c>
      <c r="F72" s="20" t="s">
        <v>17</v>
      </c>
      <c r="G72" s="22">
        <v>1.2</v>
      </c>
      <c r="H72" s="20">
        <v>0.4</v>
      </c>
      <c r="I72" s="20" t="s">
        <v>17</v>
      </c>
      <c r="J72" s="20">
        <f t="shared" si="37"/>
        <v>1.6</v>
      </c>
      <c r="K72" s="15">
        <f t="shared" si="9"/>
        <v>0.2</v>
      </c>
    </row>
    <row r="73" ht="33.75" customHeight="1">
      <c r="A73" s="16" t="s">
        <v>129</v>
      </c>
      <c r="B73" s="17"/>
      <c r="C73" s="17"/>
      <c r="D73" s="17" t="s">
        <v>130</v>
      </c>
      <c r="E73" s="20">
        <v>0.4</v>
      </c>
      <c r="F73" s="20">
        <v>0.4</v>
      </c>
      <c r="G73" s="20">
        <v>1.2</v>
      </c>
      <c r="H73" s="20">
        <v>0.4</v>
      </c>
      <c r="I73" s="20" t="s">
        <v>17</v>
      </c>
      <c r="J73" s="20">
        <f t="shared" si="37"/>
        <v>2.4</v>
      </c>
      <c r="K73" s="15">
        <f t="shared" si="9"/>
        <v>0.3</v>
      </c>
    </row>
    <row r="74" ht="15.75" customHeight="1">
      <c r="A74" s="16" t="s">
        <v>131</v>
      </c>
      <c r="C74" s="17"/>
      <c r="D74" s="17" t="s">
        <v>132</v>
      </c>
      <c r="E74" s="20">
        <v>0.8</v>
      </c>
      <c r="F74" s="20">
        <v>0.8</v>
      </c>
      <c r="G74" s="20">
        <v>1.2</v>
      </c>
      <c r="H74" s="20">
        <v>0.4</v>
      </c>
      <c r="I74" s="20" t="s">
        <v>17</v>
      </c>
      <c r="J74" s="20">
        <f t="shared" si="37"/>
        <v>3.2</v>
      </c>
      <c r="K74" s="15">
        <f t="shared" si="9"/>
        <v>0.4</v>
      </c>
    </row>
    <row r="75" ht="15.75" customHeight="1">
      <c r="A75" s="16" t="s">
        <v>133</v>
      </c>
      <c r="B75" s="17"/>
      <c r="C75" s="17"/>
      <c r="D75" s="17" t="s">
        <v>134</v>
      </c>
      <c r="E75" s="20" t="s">
        <v>17</v>
      </c>
      <c r="F75" s="20" t="s">
        <v>17</v>
      </c>
      <c r="G75" s="22">
        <v>0.8</v>
      </c>
      <c r="H75" s="20">
        <v>0.4</v>
      </c>
      <c r="I75" s="20" t="s">
        <v>17</v>
      </c>
      <c r="J75" s="20">
        <f t="shared" si="37"/>
        <v>1.2</v>
      </c>
      <c r="K75" s="15">
        <f t="shared" si="9"/>
        <v>0.15</v>
      </c>
    </row>
    <row r="76" ht="33.75" customHeight="1">
      <c r="A76" s="12">
        <v>7.0</v>
      </c>
      <c r="B76" s="21" t="s">
        <v>135</v>
      </c>
      <c r="E76" s="14">
        <f t="shared" ref="E76:J76" si="38">E77+E79+E81</f>
        <v>5.6</v>
      </c>
      <c r="F76" s="14">
        <f t="shared" si="38"/>
        <v>3.2</v>
      </c>
      <c r="G76" s="14">
        <f t="shared" si="38"/>
        <v>0</v>
      </c>
      <c r="H76" s="14">
        <f t="shared" si="38"/>
        <v>1.2</v>
      </c>
      <c r="I76" s="14">
        <f t="shared" si="38"/>
        <v>0</v>
      </c>
      <c r="J76" s="14">
        <f t="shared" si="38"/>
        <v>10</v>
      </c>
      <c r="K76" s="15">
        <f t="shared" si="9"/>
        <v>1.25</v>
      </c>
    </row>
    <row r="77" ht="15.75" customHeight="1">
      <c r="A77" s="16">
        <v>7.1</v>
      </c>
      <c r="B77" s="17"/>
      <c r="C77" s="18" t="s">
        <v>136</v>
      </c>
      <c r="D77" s="17"/>
      <c r="E77" s="19">
        <f t="shared" ref="E77:J77" si="39">SUM(E78)</f>
        <v>2</v>
      </c>
      <c r="F77" s="19">
        <f t="shared" si="39"/>
        <v>1</v>
      </c>
      <c r="G77" s="19">
        <f t="shared" si="39"/>
        <v>0</v>
      </c>
      <c r="H77" s="19">
        <f t="shared" si="39"/>
        <v>0.4</v>
      </c>
      <c r="I77" s="19">
        <f t="shared" si="39"/>
        <v>0</v>
      </c>
      <c r="J77" s="19">
        <f t="shared" si="39"/>
        <v>3.4</v>
      </c>
      <c r="K77" s="15">
        <f t="shared" si="9"/>
        <v>0.425</v>
      </c>
    </row>
    <row r="78" ht="33.75" customHeight="1">
      <c r="A78" s="16" t="s">
        <v>137</v>
      </c>
      <c r="B78" s="17"/>
      <c r="C78" s="17"/>
      <c r="D78" s="17" t="s">
        <v>138</v>
      </c>
      <c r="E78" s="20">
        <v>2.0</v>
      </c>
      <c r="F78" s="22">
        <v>1.0</v>
      </c>
      <c r="G78" s="20" t="s">
        <v>17</v>
      </c>
      <c r="H78" s="20">
        <v>0.4</v>
      </c>
      <c r="I78" s="20" t="s">
        <v>17</v>
      </c>
      <c r="J78" s="20">
        <f>SUM(E78:I78)</f>
        <v>3.4</v>
      </c>
      <c r="K78" s="15">
        <f t="shared" si="9"/>
        <v>0.425</v>
      </c>
    </row>
    <row r="79" ht="15.75" customHeight="1">
      <c r="A79" s="16">
        <v>7.2</v>
      </c>
      <c r="B79" s="17"/>
      <c r="C79" s="18" t="s">
        <v>139</v>
      </c>
      <c r="D79" s="17"/>
      <c r="E79" s="19">
        <f t="shared" ref="E79:J79" si="40">SUM(E80)</f>
        <v>2</v>
      </c>
      <c r="F79" s="19">
        <f t="shared" si="40"/>
        <v>1</v>
      </c>
      <c r="G79" s="19">
        <f t="shared" si="40"/>
        <v>0</v>
      </c>
      <c r="H79" s="19">
        <f t="shared" si="40"/>
        <v>0.4</v>
      </c>
      <c r="I79" s="19">
        <f t="shared" si="40"/>
        <v>0</v>
      </c>
      <c r="J79" s="19">
        <f t="shared" si="40"/>
        <v>3.4</v>
      </c>
      <c r="K79" s="15">
        <f t="shared" si="9"/>
        <v>0.425</v>
      </c>
    </row>
    <row r="80" ht="33.75" customHeight="1">
      <c r="A80" s="16" t="s">
        <v>140</v>
      </c>
      <c r="B80" s="17"/>
      <c r="C80" s="17"/>
      <c r="D80" s="17" t="s">
        <v>141</v>
      </c>
      <c r="E80" s="20">
        <v>2.0</v>
      </c>
      <c r="F80" s="22">
        <v>1.0</v>
      </c>
      <c r="G80" s="20" t="s">
        <v>17</v>
      </c>
      <c r="H80" s="20">
        <v>0.4</v>
      </c>
      <c r="I80" s="20" t="s">
        <v>17</v>
      </c>
      <c r="J80" s="20">
        <f>SUM(E80:I80)</f>
        <v>3.4</v>
      </c>
      <c r="K80" s="15">
        <f t="shared" si="9"/>
        <v>0.425</v>
      </c>
    </row>
    <row r="81" ht="15.75" customHeight="1">
      <c r="A81" s="16">
        <v>7.3</v>
      </c>
      <c r="C81" s="18" t="s">
        <v>142</v>
      </c>
      <c r="D81" s="27"/>
      <c r="E81" s="19">
        <f t="shared" ref="E81:J81" si="41">SUM(E82)</f>
        <v>1.6</v>
      </c>
      <c r="F81" s="19">
        <f t="shared" si="41"/>
        <v>1.2</v>
      </c>
      <c r="G81" s="19">
        <f t="shared" si="41"/>
        <v>0</v>
      </c>
      <c r="H81" s="19">
        <f t="shared" si="41"/>
        <v>0.4</v>
      </c>
      <c r="I81" s="19">
        <f t="shared" si="41"/>
        <v>0</v>
      </c>
      <c r="J81" s="19">
        <f t="shared" si="41"/>
        <v>3.2</v>
      </c>
      <c r="K81" s="15">
        <f t="shared" si="9"/>
        <v>0.4</v>
      </c>
    </row>
    <row r="82" ht="15.75" customHeight="1">
      <c r="A82" s="16" t="s">
        <v>143</v>
      </c>
      <c r="B82" s="17"/>
      <c r="C82" s="17"/>
      <c r="D82" s="17" t="s">
        <v>144</v>
      </c>
      <c r="E82" s="20">
        <v>1.6</v>
      </c>
      <c r="F82" s="20">
        <v>1.2</v>
      </c>
      <c r="G82" s="20" t="s">
        <v>17</v>
      </c>
      <c r="H82" s="20">
        <v>0.4</v>
      </c>
      <c r="I82" s="20" t="s">
        <v>17</v>
      </c>
      <c r="J82" s="20">
        <f>SUM(E82:I82)</f>
        <v>3.2</v>
      </c>
      <c r="K82" s="15">
        <f t="shared" si="9"/>
        <v>0.4</v>
      </c>
    </row>
    <row r="83" ht="33.75" customHeight="1">
      <c r="A83" s="12">
        <v>8.0</v>
      </c>
      <c r="B83" s="21" t="s">
        <v>145</v>
      </c>
      <c r="E83" s="14">
        <f t="shared" ref="E83:J83" si="42">E84</f>
        <v>1.3</v>
      </c>
      <c r="F83" s="14">
        <f t="shared" si="42"/>
        <v>1.7</v>
      </c>
      <c r="G83" s="14">
        <f t="shared" si="42"/>
        <v>2.9</v>
      </c>
      <c r="H83" s="14">
        <f t="shared" si="42"/>
        <v>1.3</v>
      </c>
      <c r="I83" s="14">
        <f t="shared" si="42"/>
        <v>0.8</v>
      </c>
      <c r="J83" s="14">
        <f t="shared" si="42"/>
        <v>8</v>
      </c>
      <c r="K83" s="15">
        <f t="shared" si="9"/>
        <v>1</v>
      </c>
    </row>
    <row r="84" ht="33.75" customHeight="1">
      <c r="A84" s="16">
        <v>8.1</v>
      </c>
      <c r="B84" s="17"/>
      <c r="C84" s="28" t="s">
        <v>146</v>
      </c>
      <c r="D84" s="17"/>
      <c r="E84" s="19">
        <f t="shared" ref="E84:J84" si="43">SUM(E85:E87)</f>
        <v>1.3</v>
      </c>
      <c r="F84" s="19">
        <f t="shared" si="43"/>
        <v>1.7</v>
      </c>
      <c r="G84" s="19">
        <f t="shared" si="43"/>
        <v>2.9</v>
      </c>
      <c r="H84" s="19">
        <f t="shared" si="43"/>
        <v>1.3</v>
      </c>
      <c r="I84" s="19">
        <f t="shared" si="43"/>
        <v>0.8</v>
      </c>
      <c r="J84" s="19">
        <f t="shared" si="43"/>
        <v>8</v>
      </c>
      <c r="K84" s="15">
        <f t="shared" si="9"/>
        <v>1</v>
      </c>
    </row>
    <row r="85" ht="33.75" customHeight="1">
      <c r="A85" s="16" t="s">
        <v>147</v>
      </c>
      <c r="B85" s="17"/>
      <c r="C85" s="17"/>
      <c r="D85" s="17" t="s">
        <v>148</v>
      </c>
      <c r="E85" s="20" t="s">
        <v>17</v>
      </c>
      <c r="F85" s="20" t="s">
        <v>17</v>
      </c>
      <c r="G85" s="20" t="s">
        <v>17</v>
      </c>
      <c r="H85" s="20" t="s">
        <v>17</v>
      </c>
      <c r="I85" s="20">
        <v>0.8</v>
      </c>
      <c r="J85" s="20">
        <f t="shared" ref="J85:J87" si="44">SUM(E85:I85)</f>
        <v>0.8</v>
      </c>
      <c r="K85" s="15">
        <f t="shared" si="9"/>
        <v>0.1</v>
      </c>
    </row>
    <row r="86" ht="15.75" customHeight="1">
      <c r="A86" s="16" t="s">
        <v>149</v>
      </c>
      <c r="C86" s="17"/>
      <c r="D86" s="17" t="s">
        <v>150</v>
      </c>
      <c r="E86" s="20">
        <v>0.8</v>
      </c>
      <c r="F86" s="20">
        <v>1.2</v>
      </c>
      <c r="G86" s="20">
        <v>2.4</v>
      </c>
      <c r="H86" s="20">
        <v>0.8</v>
      </c>
      <c r="I86" s="20" t="s">
        <v>17</v>
      </c>
      <c r="J86" s="20">
        <f t="shared" si="44"/>
        <v>5.2</v>
      </c>
      <c r="K86" s="15">
        <f t="shared" si="9"/>
        <v>0.65</v>
      </c>
    </row>
    <row r="87" ht="15.75" customHeight="1">
      <c r="A87" s="16" t="s">
        <v>151</v>
      </c>
      <c r="B87" s="17"/>
      <c r="C87" s="17"/>
      <c r="D87" s="17" t="s">
        <v>152</v>
      </c>
      <c r="E87" s="22">
        <v>0.5</v>
      </c>
      <c r="F87" s="22">
        <v>0.5</v>
      </c>
      <c r="G87" s="22">
        <v>0.5</v>
      </c>
      <c r="H87" s="22">
        <v>0.5</v>
      </c>
      <c r="I87" s="20" t="s">
        <v>17</v>
      </c>
      <c r="J87" s="20">
        <f t="shared" si="44"/>
        <v>2</v>
      </c>
      <c r="K87" s="15">
        <f t="shared" si="9"/>
        <v>0.25</v>
      </c>
    </row>
    <row r="88" ht="33.75" customHeight="1">
      <c r="A88" s="12">
        <v>9.0</v>
      </c>
      <c r="B88" s="21" t="s">
        <v>153</v>
      </c>
      <c r="E88" s="14">
        <f t="shared" ref="E88:J88" si="45">E89+E93+E96+E99</f>
        <v>0.4</v>
      </c>
      <c r="F88" s="14">
        <f t="shared" si="45"/>
        <v>1.2</v>
      </c>
      <c r="G88" s="14">
        <f t="shared" si="45"/>
        <v>5.9</v>
      </c>
      <c r="H88" s="14">
        <f t="shared" si="45"/>
        <v>11</v>
      </c>
      <c r="I88" s="14">
        <f t="shared" si="45"/>
        <v>5.5</v>
      </c>
      <c r="J88" s="14">
        <f t="shared" si="45"/>
        <v>24</v>
      </c>
      <c r="K88" s="15">
        <f t="shared" si="9"/>
        <v>3</v>
      </c>
    </row>
    <row r="89" ht="33.75" customHeight="1">
      <c r="A89" s="16">
        <v>9.1</v>
      </c>
      <c r="B89" s="17"/>
      <c r="C89" s="18" t="s">
        <v>154</v>
      </c>
      <c r="D89" s="17"/>
      <c r="E89" s="19">
        <f t="shared" ref="E89:J89" si="46">SUM(E90:E92)</f>
        <v>0</v>
      </c>
      <c r="F89" s="19">
        <f t="shared" si="46"/>
        <v>0.4</v>
      </c>
      <c r="G89" s="19">
        <f t="shared" si="46"/>
        <v>3.2</v>
      </c>
      <c r="H89" s="19">
        <f t="shared" si="46"/>
        <v>3</v>
      </c>
      <c r="I89" s="19">
        <f t="shared" si="46"/>
        <v>0</v>
      </c>
      <c r="J89" s="19">
        <f t="shared" si="46"/>
        <v>6.6</v>
      </c>
      <c r="K89" s="15">
        <f t="shared" si="9"/>
        <v>0.825</v>
      </c>
    </row>
    <row r="90" ht="33.75" customHeight="1">
      <c r="A90" s="16" t="s">
        <v>155</v>
      </c>
      <c r="B90" s="17"/>
      <c r="C90" s="17"/>
      <c r="D90" s="17" t="s">
        <v>156</v>
      </c>
      <c r="E90" s="20" t="s">
        <v>17</v>
      </c>
      <c r="F90" s="20" t="s">
        <v>17</v>
      </c>
      <c r="G90" s="20">
        <v>1.2</v>
      </c>
      <c r="H90" s="22">
        <v>1.0</v>
      </c>
      <c r="I90" s="20" t="s">
        <v>17</v>
      </c>
      <c r="J90" s="20">
        <f t="shared" ref="J90:J92" si="47">SUM(E90:I90)</f>
        <v>2.2</v>
      </c>
      <c r="K90" s="15">
        <f t="shared" si="9"/>
        <v>0.275</v>
      </c>
    </row>
    <row r="91" ht="15.75" customHeight="1">
      <c r="A91" s="16" t="s">
        <v>157</v>
      </c>
      <c r="B91" s="17"/>
      <c r="C91" s="17"/>
      <c r="D91" s="17" t="s">
        <v>158</v>
      </c>
      <c r="E91" s="20" t="s">
        <v>17</v>
      </c>
      <c r="F91" s="20" t="s">
        <v>17</v>
      </c>
      <c r="G91" s="22">
        <v>1.0</v>
      </c>
      <c r="H91" s="20">
        <v>1.2</v>
      </c>
      <c r="I91" s="20" t="s">
        <v>17</v>
      </c>
      <c r="J91" s="20">
        <f t="shared" si="47"/>
        <v>2.2</v>
      </c>
      <c r="K91" s="15">
        <f t="shared" si="9"/>
        <v>0.275</v>
      </c>
    </row>
    <row r="92" ht="33.75" customHeight="1">
      <c r="A92" s="16" t="s">
        <v>159</v>
      </c>
      <c r="B92" s="17"/>
      <c r="C92" s="17"/>
      <c r="D92" s="17" t="s">
        <v>160</v>
      </c>
      <c r="E92" s="20" t="s">
        <v>17</v>
      </c>
      <c r="F92" s="20">
        <v>0.4</v>
      </c>
      <c r="G92" s="22">
        <v>1.0</v>
      </c>
      <c r="H92" s="20">
        <v>0.8</v>
      </c>
      <c r="I92" s="20" t="s">
        <v>17</v>
      </c>
      <c r="J92" s="20">
        <f t="shared" si="47"/>
        <v>2.2</v>
      </c>
      <c r="K92" s="15">
        <f t="shared" si="9"/>
        <v>0.275</v>
      </c>
    </row>
    <row r="93" ht="33.75" customHeight="1">
      <c r="A93" s="16">
        <v>9.2</v>
      </c>
      <c r="B93" s="17"/>
      <c r="C93" s="18" t="s">
        <v>161</v>
      </c>
      <c r="D93" s="17"/>
      <c r="E93" s="19">
        <f t="shared" ref="E93:J93" si="48">SUM(E94:E95)</f>
        <v>0</v>
      </c>
      <c r="F93" s="19">
        <f t="shared" si="48"/>
        <v>0</v>
      </c>
      <c r="G93" s="19">
        <f t="shared" si="48"/>
        <v>1.6</v>
      </c>
      <c r="H93" s="19">
        <f t="shared" si="48"/>
        <v>2</v>
      </c>
      <c r="I93" s="19">
        <f t="shared" si="48"/>
        <v>0.5</v>
      </c>
      <c r="J93" s="19">
        <f t="shared" si="48"/>
        <v>4.1</v>
      </c>
      <c r="K93" s="15">
        <f t="shared" si="9"/>
        <v>0.5125</v>
      </c>
    </row>
    <row r="94" ht="15.75" customHeight="1">
      <c r="A94" s="16" t="s">
        <v>162</v>
      </c>
      <c r="B94" s="17"/>
      <c r="C94" s="17"/>
      <c r="D94" s="17" t="s">
        <v>163</v>
      </c>
      <c r="E94" s="20" t="s">
        <v>17</v>
      </c>
      <c r="F94" s="20" t="s">
        <v>17</v>
      </c>
      <c r="G94" s="20">
        <v>0.8</v>
      </c>
      <c r="H94" s="22">
        <v>1.0</v>
      </c>
      <c r="I94" s="22">
        <v>0.5</v>
      </c>
      <c r="J94" s="20">
        <f t="shared" ref="J94:J95" si="49">SUM(E94:I94)</f>
        <v>2.3</v>
      </c>
      <c r="K94" s="15">
        <f t="shared" si="9"/>
        <v>0.2875</v>
      </c>
    </row>
    <row r="95" ht="33.75" customHeight="1">
      <c r="A95" s="16" t="s">
        <v>164</v>
      </c>
      <c r="B95" s="17"/>
      <c r="C95" s="17"/>
      <c r="D95" s="17" t="s">
        <v>165</v>
      </c>
      <c r="E95" s="20" t="s">
        <v>17</v>
      </c>
      <c r="F95" s="20" t="s">
        <v>17</v>
      </c>
      <c r="G95" s="20">
        <v>0.8</v>
      </c>
      <c r="H95" s="22">
        <v>1.0</v>
      </c>
      <c r="I95" s="20" t="s">
        <v>17</v>
      </c>
      <c r="J95" s="20">
        <f t="shared" si="49"/>
        <v>1.8</v>
      </c>
      <c r="K95" s="15">
        <f t="shared" si="9"/>
        <v>0.225</v>
      </c>
    </row>
    <row r="96" ht="33.75" customHeight="1">
      <c r="A96" s="16">
        <v>9.3</v>
      </c>
      <c r="B96" s="17"/>
      <c r="C96" s="18" t="s">
        <v>166</v>
      </c>
      <c r="D96" s="17"/>
      <c r="E96" s="19">
        <f t="shared" ref="E96:J96" si="50">SUM(E97:E98)</f>
        <v>0</v>
      </c>
      <c r="F96" s="19">
        <f t="shared" si="50"/>
        <v>0</v>
      </c>
      <c r="G96" s="19">
        <f t="shared" si="50"/>
        <v>0.3</v>
      </c>
      <c r="H96" s="19">
        <f t="shared" si="50"/>
        <v>3</v>
      </c>
      <c r="I96" s="19">
        <f t="shared" si="50"/>
        <v>0</v>
      </c>
      <c r="J96" s="19">
        <f t="shared" si="50"/>
        <v>3.3</v>
      </c>
      <c r="K96" s="15">
        <f t="shared" si="9"/>
        <v>0.4125</v>
      </c>
    </row>
    <row r="97" ht="15.75" customHeight="1">
      <c r="A97" s="16" t="s">
        <v>167</v>
      </c>
      <c r="B97" s="17"/>
      <c r="C97" s="17"/>
      <c r="D97" s="17" t="s">
        <v>168</v>
      </c>
      <c r="E97" s="20" t="s">
        <v>17</v>
      </c>
      <c r="F97" s="20" t="s">
        <v>17</v>
      </c>
      <c r="G97" s="20" t="s">
        <v>17</v>
      </c>
      <c r="H97" s="20">
        <v>2.0</v>
      </c>
      <c r="I97" s="20" t="s">
        <v>17</v>
      </c>
      <c r="J97" s="20">
        <f t="shared" ref="J97:J98" si="51">SUM(E97:I97)</f>
        <v>2</v>
      </c>
      <c r="K97" s="15">
        <f t="shared" si="9"/>
        <v>0.25</v>
      </c>
    </row>
    <row r="98" ht="33.75" customHeight="1">
      <c r="A98" s="16" t="s">
        <v>169</v>
      </c>
      <c r="B98" s="17"/>
      <c r="C98" s="17"/>
      <c r="D98" s="17" t="s">
        <v>170</v>
      </c>
      <c r="E98" s="20" t="s">
        <v>17</v>
      </c>
      <c r="F98" s="20" t="s">
        <v>17</v>
      </c>
      <c r="G98" s="22">
        <v>0.3</v>
      </c>
      <c r="H98" s="22">
        <v>1.0</v>
      </c>
      <c r="I98" s="20" t="s">
        <v>17</v>
      </c>
      <c r="J98" s="20">
        <f t="shared" si="51"/>
        <v>1.3</v>
      </c>
      <c r="K98" s="15">
        <f t="shared" si="9"/>
        <v>0.1625</v>
      </c>
    </row>
    <row r="99" ht="33.75" customHeight="1">
      <c r="A99" s="16">
        <v>9.4</v>
      </c>
      <c r="B99" s="17"/>
      <c r="C99" s="18" t="s">
        <v>171</v>
      </c>
      <c r="D99" s="17"/>
      <c r="E99" s="19">
        <f t="shared" ref="E99:J99" si="52">SUM(E100:E104)</f>
        <v>0.4</v>
      </c>
      <c r="F99" s="19">
        <f t="shared" si="52"/>
        <v>0.8</v>
      </c>
      <c r="G99" s="19">
        <f t="shared" si="52"/>
        <v>0.8</v>
      </c>
      <c r="H99" s="19">
        <f t="shared" si="52"/>
        <v>3</v>
      </c>
      <c r="I99" s="19">
        <f t="shared" si="52"/>
        <v>5</v>
      </c>
      <c r="J99" s="19">
        <f t="shared" si="52"/>
        <v>10</v>
      </c>
      <c r="K99" s="15">
        <f t="shared" si="9"/>
        <v>1.25</v>
      </c>
    </row>
    <row r="100" ht="33.75" customHeight="1">
      <c r="A100" s="16" t="s">
        <v>172</v>
      </c>
      <c r="B100" s="17"/>
      <c r="C100" s="17"/>
      <c r="D100" s="17" t="s">
        <v>173</v>
      </c>
      <c r="E100" s="20" t="s">
        <v>17</v>
      </c>
      <c r="F100" s="20" t="s">
        <v>17</v>
      </c>
      <c r="G100" s="20" t="s">
        <v>17</v>
      </c>
      <c r="H100" s="20">
        <v>0.4</v>
      </c>
      <c r="I100" s="20">
        <v>1.6</v>
      </c>
      <c r="J100" s="20">
        <f t="shared" ref="J100:J104" si="53">SUM(E100:I100)</f>
        <v>2</v>
      </c>
      <c r="K100" s="15">
        <f t="shared" si="9"/>
        <v>0.25</v>
      </c>
    </row>
    <row r="101" ht="33.75" customHeight="1">
      <c r="A101" s="16" t="s">
        <v>174</v>
      </c>
      <c r="B101" s="17"/>
      <c r="C101" s="17"/>
      <c r="D101" s="17" t="s">
        <v>175</v>
      </c>
      <c r="E101" s="20" t="s">
        <v>17</v>
      </c>
      <c r="F101" s="20" t="s">
        <v>17</v>
      </c>
      <c r="G101" s="20" t="s">
        <v>17</v>
      </c>
      <c r="H101" s="20" t="s">
        <v>17</v>
      </c>
      <c r="I101" s="20">
        <v>1.2</v>
      </c>
      <c r="J101" s="20">
        <f t="shared" si="53"/>
        <v>1.2</v>
      </c>
      <c r="K101" s="15">
        <f t="shared" si="9"/>
        <v>0.15</v>
      </c>
    </row>
    <row r="102" ht="33.75" customHeight="1">
      <c r="A102" s="16" t="s">
        <v>176</v>
      </c>
      <c r="B102" s="17"/>
      <c r="C102" s="17"/>
      <c r="D102" s="17" t="s">
        <v>177</v>
      </c>
      <c r="E102" s="20" t="s">
        <v>17</v>
      </c>
      <c r="F102" s="20">
        <v>0.4</v>
      </c>
      <c r="G102" s="20">
        <v>0.4</v>
      </c>
      <c r="H102" s="22">
        <v>1.0</v>
      </c>
      <c r="I102" s="20" t="s">
        <v>17</v>
      </c>
      <c r="J102" s="20">
        <f t="shared" si="53"/>
        <v>1.8</v>
      </c>
      <c r="K102" s="15">
        <f t="shared" si="9"/>
        <v>0.225</v>
      </c>
    </row>
    <row r="103" ht="15.75" customHeight="1">
      <c r="A103" s="16" t="s">
        <v>178</v>
      </c>
      <c r="B103" s="17"/>
      <c r="C103" s="17"/>
      <c r="D103" s="17" t="s">
        <v>179</v>
      </c>
      <c r="E103" s="20">
        <v>0.4</v>
      </c>
      <c r="F103" s="20">
        <v>0.4</v>
      </c>
      <c r="G103" s="20" t="s">
        <v>17</v>
      </c>
      <c r="H103" s="20">
        <v>0.4</v>
      </c>
      <c r="I103" s="20">
        <v>1.2</v>
      </c>
      <c r="J103" s="20">
        <f t="shared" si="53"/>
        <v>2.4</v>
      </c>
      <c r="K103" s="15">
        <f t="shared" si="9"/>
        <v>0.3</v>
      </c>
    </row>
    <row r="104" ht="15.75" customHeight="1">
      <c r="A104" s="16" t="s">
        <v>180</v>
      </c>
      <c r="B104" s="17"/>
      <c r="C104" s="17"/>
      <c r="D104" s="17" t="s">
        <v>181</v>
      </c>
      <c r="E104" s="20" t="s">
        <v>17</v>
      </c>
      <c r="F104" s="20" t="s">
        <v>17</v>
      </c>
      <c r="G104" s="20">
        <v>0.4</v>
      </c>
      <c r="H104" s="20">
        <v>1.2</v>
      </c>
      <c r="I104" s="22">
        <v>1.0</v>
      </c>
      <c r="J104" s="20">
        <f t="shared" si="53"/>
        <v>2.6</v>
      </c>
      <c r="K104" s="15">
        <f t="shared" si="9"/>
        <v>0.325</v>
      </c>
    </row>
    <row r="105" ht="15.75" customHeight="1">
      <c r="A105" s="29" t="s">
        <v>182</v>
      </c>
      <c r="B105" s="30"/>
      <c r="C105" s="30"/>
      <c r="D105" s="30"/>
      <c r="E105" s="31">
        <f t="shared" ref="E105:K105" si="54">E4+E15+E23+E46+E57+E69+E76+E83+E88</f>
        <v>19.1</v>
      </c>
      <c r="F105" s="31">
        <f t="shared" si="54"/>
        <v>23.5</v>
      </c>
      <c r="G105" s="31">
        <f t="shared" si="54"/>
        <v>52.5</v>
      </c>
      <c r="H105" s="31">
        <f t="shared" si="54"/>
        <v>33.8</v>
      </c>
      <c r="I105" s="31">
        <f t="shared" si="54"/>
        <v>31.1</v>
      </c>
      <c r="J105" s="31">
        <f t="shared" si="54"/>
        <v>160</v>
      </c>
      <c r="K105" s="32">
        <f t="shared" si="54"/>
        <v>20</v>
      </c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ht="15.75" customHeight="1"/>
    <row r="107" ht="15.75" customHeight="1">
      <c r="A107" s="34" t="s">
        <v>183</v>
      </c>
      <c r="B107" s="35"/>
      <c r="C107" s="36" t="s">
        <v>184</v>
      </c>
      <c r="D107" s="37"/>
      <c r="E107" s="37"/>
      <c r="F107" s="37"/>
      <c r="G107" s="37"/>
      <c r="H107" s="37"/>
      <c r="I107" s="37"/>
      <c r="J107" s="37"/>
      <c r="K107" s="37"/>
    </row>
    <row r="108" ht="15.75" customHeight="1">
      <c r="A108" s="38"/>
      <c r="C108" s="39" t="s">
        <v>185</v>
      </c>
      <c r="D108" s="37"/>
      <c r="E108" s="37"/>
      <c r="F108" s="37"/>
      <c r="G108" s="37"/>
      <c r="H108" s="37"/>
      <c r="I108" s="37"/>
      <c r="J108" s="37"/>
      <c r="K108" s="37"/>
    </row>
    <row r="109" ht="15.75" customHeight="1">
      <c r="A109" s="40"/>
      <c r="B109" s="41"/>
      <c r="C109" s="42" t="s">
        <v>186</v>
      </c>
      <c r="D109" s="37"/>
      <c r="E109" s="37"/>
      <c r="F109" s="37"/>
      <c r="G109" s="37"/>
      <c r="H109" s="37"/>
      <c r="I109" s="37"/>
      <c r="J109" s="37"/>
      <c r="K109" s="37"/>
    </row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4">
    <mergeCell ref="B57:D57"/>
    <mergeCell ref="B69:D69"/>
    <mergeCell ref="B76:D76"/>
    <mergeCell ref="B83:D83"/>
    <mergeCell ref="B88:D88"/>
    <mergeCell ref="A105:D105"/>
    <mergeCell ref="A107:B109"/>
    <mergeCell ref="A1:K1"/>
    <mergeCell ref="A3:K3"/>
    <mergeCell ref="B4:D4"/>
    <mergeCell ref="A14:K14"/>
    <mergeCell ref="B15:D15"/>
    <mergeCell ref="B23:D23"/>
    <mergeCell ref="B46:D46"/>
  </mergeCells>
  <printOptions/>
  <pageMargins bottom="1.0" footer="0.0" header="0.0" left="0.75" right="0.75" top="1.0"/>
  <pageSetup orientation="landscape"/>
  <drawing r:id="rId1"/>
</worksheet>
</file>